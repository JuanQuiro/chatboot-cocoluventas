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_PROFESIONAL_Compl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<sst xmlns="http://schemas.openxmlformats.org/spreadsheetml/2006/main" count="318" uniqueCount="286">
  <si>
    <t xml:space="preserve">PRESUPUESTO CHATBOT WHATSAPP - COCOLUVENTAS</t>
  </si>
  <si>
    <t xml:space="preserve">Cliente:</t>
  </si>
  <si>
    <t xml:space="preserve">CocoLuVentas</t>
  </si>
  <si>
    <t xml:space="preserve">Fecha:</t>
  </si>
  <si>
    <t xml:space="preserve">11/11/2025</t>
  </si>
  <si>
    <t xml:space="preserve">Proyecto:</t>
  </si>
  <si>
    <t xml:space="preserve">Sistema de Chatbot WhatsApp con Rotación Automática de Vendedores</t>
  </si>
  <si>
    <t xml:space="preserve">Desarrollador:</t>
  </si>
  <si>
    <t xml:space="preserve">Ember Drago</t>
  </si>
  <si>
    <t xml:space="preserve">TARIFA/HORA:</t>
  </si>
  <si>
    <t xml:space="preserve">USD</t>
  </si>
  <si>
    <t xml:space="preserve">← AJUSTAR AQUÍ PARA RECALCULAR TODO</t>
  </si>
  <si>
    <t xml:space="preserve">#</t>
  </si>
  <si>
    <t xml:space="preserve">Fase/Tarea</t>
  </si>
  <si>
    <t xml:space="preserve">Descripción Detallada</t>
  </si>
  <si>
    <t xml:space="preserve">Horas</t>
  </si>
  <si>
    <t xml:space="preserve">Días (8h)</t>
  </si>
  <si>
    <t xml:space="preserve">Tarifa</t>
  </si>
  <si>
    <t xml:space="preserve">Total USD</t>
  </si>
  <si>
    <t xml:space="preserve">%</t>
  </si>
  <si>
    <t xml:space="preserve">══════════════════════════════════════════════════════════════</t>
  </si>
  <si>
    <t xml:space="preserve">FASE 1: ANÁLISIS Y DISEÑO</t>
  </si>
  <si>
    <t xml:space="preserve">1.1</t>
  </si>
  <si>
    <t xml:space="preserve">Análisis de Requerimientos</t>
  </si>
  <si>
    <t xml:space="preserve">1.1.1</t>
  </si>
  <si>
    <t xml:space="preserve">Reunión inicial con cliente</t>
  </si>
  <si>
    <t xml:space="preserve">Definición objetivos y alcance</t>
  </si>
  <si>
    <t xml:space="preserve">1.1.2</t>
  </si>
  <si>
    <t xml:space="preserve">Levantamiento necesidades</t>
  </si>
  <si>
    <t xml:space="preserve">Flujos conversacionales</t>
  </si>
  <si>
    <t xml:space="preserve">1.1.3</t>
  </si>
  <si>
    <t xml:space="preserve">Documentación requerimientos</t>
  </si>
  <si>
    <t xml:space="preserve">Especificaciones funcionales</t>
  </si>
  <si>
    <t xml:space="preserve">1.2</t>
  </si>
  <si>
    <t xml:space="preserve">Diseño de Arquitectura</t>
  </si>
  <si>
    <t xml:space="preserve">1.2.1</t>
  </si>
  <si>
    <t xml:space="preserve">Stack tecnológico</t>
  </si>
  <si>
    <t xml:space="preserve">Node.js + BuilderBot + Baileys</t>
  </si>
  <si>
    <t xml:space="preserve">1.2.2</t>
  </si>
  <si>
    <t xml:space="preserve">Diseño de componentes</t>
  </si>
  <si>
    <t xml:space="preserve">Módulos y estructura</t>
  </si>
  <si>
    <t xml:space="preserve">1.2.3</t>
  </si>
  <si>
    <t xml:space="preserve">Diagrama arquitectura</t>
  </si>
  <si>
    <t xml:space="preserve">Documentación visual</t>
  </si>
  <si>
    <t xml:space="preserve">1.3</t>
  </si>
  <si>
    <t xml:space="preserve">Diseño Base de Datos</t>
  </si>
  <si>
    <t xml:space="preserve">1.3.1</t>
  </si>
  <si>
    <t xml:space="preserve">Modelado vendedores</t>
  </si>
  <si>
    <t xml:space="preserve">5 vendedores con datos</t>
  </si>
  <si>
    <t xml:space="preserve">1.3.2</t>
  </si>
  <si>
    <t xml:space="preserve">Modelado historial</t>
  </si>
  <si>
    <t xml:space="preserve">Registro asignaciones</t>
  </si>
  <si>
    <t xml:space="preserve">1.4</t>
  </si>
  <si>
    <t xml:space="preserve">Diseño de Flujos</t>
  </si>
  <si>
    <t xml:space="preserve">1.4.1</t>
  </si>
  <si>
    <t xml:space="preserve">Mapeo comandos</t>
  </si>
  <si>
    <t xml:space="preserve">hola-lista-stats</t>
  </si>
  <si>
    <t xml:space="preserve">1.4.2</t>
  </si>
  <si>
    <t xml:space="preserve">Templates respuestas</t>
  </si>
  <si>
    <t xml:space="preserve">Mensajes automáticos</t>
  </si>
  <si>
    <t xml:space="preserve">1.4.3</t>
  </si>
  <si>
    <t xml:space="preserve">Diagrama de flujos</t>
  </si>
  <si>
    <t xml:space="preserve">Flowchart completo</t>
  </si>
  <si>
    <t xml:space="preserve">SUBTOTAL FASE 1:</t>
  </si>
  <si>
    <t xml:space="preserve">FASE 2: CONFIGURACIÓN DEL ENTORNO</t>
  </si>
  <si>
    <t xml:space="preserve">2.1</t>
  </si>
  <si>
    <t xml:space="preserve">Setup Node.js</t>
  </si>
  <si>
    <t xml:space="preserve">2.1.1</t>
  </si>
  <si>
    <t xml:space="preserve">Instalación Node.js v20+</t>
  </si>
  <si>
    <t xml:space="preserve">Configuración entorno</t>
  </si>
  <si>
    <t xml:space="preserve">2.1.2</t>
  </si>
  <si>
    <t xml:space="preserve">Instalación BuilderBot</t>
  </si>
  <si>
    <t xml:space="preserve">@builderbot/bot</t>
  </si>
  <si>
    <t xml:space="preserve">2.1.3</t>
  </si>
  <si>
    <t xml:space="preserve">Instalación Baileys</t>
  </si>
  <si>
    <t xml:space="preserve">@builderbot/provider-baileys</t>
  </si>
  <si>
    <t xml:space="preserve">2.2</t>
  </si>
  <si>
    <t xml:space="preserve">Repositorio Git</t>
  </si>
  <si>
    <t xml:space="preserve">2.2.1</t>
  </si>
  <si>
    <t xml:space="preserve">Inicialización Git</t>
  </si>
  <si>
    <t xml:space="preserve">Repo local y remoto</t>
  </si>
  <si>
    <t xml:space="preserve">2.2.2</t>
  </si>
  <si>
    <t xml:space="preserve">Estructura carpetas</t>
  </si>
  <si>
    <t xml:space="preserve">src-docs-scripts</t>
  </si>
  <si>
    <t xml:space="preserve">2.3</t>
  </si>
  <si>
    <t xml:space="preserve">WhatsApp Web</t>
  </si>
  <si>
    <t xml:space="preserve">2.3.1</t>
  </si>
  <si>
    <t xml:space="preserve">Configuración Baileys</t>
  </si>
  <si>
    <t xml:space="preserve">Provider WhatsApp</t>
  </si>
  <si>
    <t xml:space="preserve">2.3.2</t>
  </si>
  <si>
    <t xml:space="preserve">Sistema autenticación</t>
  </si>
  <si>
    <t xml:space="preserve">QR code y sesiones</t>
  </si>
  <si>
    <t xml:space="preserve">2.3.3</t>
  </si>
  <si>
    <t xml:space="preserve">Reconexión automática</t>
  </si>
  <si>
    <t xml:space="preserve">Recovery sesiones</t>
  </si>
  <si>
    <t xml:space="preserve">SUBTOTAL FASE 2:</t>
  </si>
  <si>
    <t xml:space="preserve">FASE 3: DESARROLLO DEL CORE</t>
  </si>
  <si>
    <t xml:space="preserve">3.1</t>
  </si>
  <si>
    <t xml:space="preserve">Sistema Vendedores</t>
  </si>
  <si>
    <t xml:space="preserve">3.1.1</t>
  </si>
  <si>
    <t xml:space="preserve">Estructura de datos</t>
  </si>
  <si>
    <t xml:space="preserve">Array de 5 vendedores</t>
  </si>
  <si>
    <t xml:space="preserve">3.1.2</t>
  </si>
  <si>
    <t xml:space="preserve">Información vendedores</t>
  </si>
  <si>
    <t xml:space="preserve">Nombre-especialidad-contacto</t>
  </si>
  <si>
    <t xml:space="preserve">3.2</t>
  </si>
  <si>
    <t xml:space="preserve">Rotación Round-Robin</t>
  </si>
  <si>
    <t xml:space="preserve">3.2.1</t>
  </si>
  <si>
    <t xml:space="preserve">Algoritmo asignación</t>
  </si>
  <si>
    <t xml:space="preserve">Rotación secuencial</t>
  </si>
  <si>
    <t xml:space="preserve">3.2.2</t>
  </si>
  <si>
    <t xml:space="preserve">Control de índice</t>
  </si>
  <si>
    <t xml:space="preserve">Gestión posición actual</t>
  </si>
  <si>
    <t xml:space="preserve">3.2.3</t>
  </si>
  <si>
    <t xml:space="preserve">Contador asignaciones</t>
  </si>
  <si>
    <t xml:space="preserve">Tracking diario</t>
  </si>
  <si>
    <t xml:space="preserve">3.3</t>
  </si>
  <si>
    <t xml:space="preserve">Flow de Asignación</t>
  </si>
  <si>
    <t xml:space="preserve">3.3.1</t>
  </si>
  <si>
    <t xml:space="preserve">Detección keywords</t>
  </si>
  <si>
    <t xml:space="preserve">hola-hello-hi-ayuda</t>
  </si>
  <si>
    <t xml:space="preserve">3.3.2</t>
  </si>
  <si>
    <t xml:space="preserve">Lógica asignación</t>
  </si>
  <si>
    <t xml:space="preserve">getNextVendedor()</t>
  </si>
  <si>
    <t xml:space="preserve">3.3.3</t>
  </si>
  <si>
    <t xml:space="preserve">Generación respuesta</t>
  </si>
  <si>
    <t xml:space="preserve">Mensaje personalizado</t>
  </si>
  <si>
    <t xml:space="preserve">3.4</t>
  </si>
  <si>
    <t xml:space="preserve">Flow Lista Vendedores</t>
  </si>
  <si>
    <t xml:space="preserve">3.4.1</t>
  </si>
  <si>
    <t xml:space="preserve">Comando lista</t>
  </si>
  <si>
    <t xml:space="preserve">Keywords: lista-vendedores</t>
  </si>
  <si>
    <t xml:space="preserve">3.4.2</t>
  </si>
  <si>
    <t xml:space="preserve">Formato respuesta</t>
  </si>
  <si>
    <t xml:space="preserve">Lista completa formateada</t>
  </si>
  <si>
    <t xml:space="preserve">3.5</t>
  </si>
  <si>
    <t xml:space="preserve">Flow Estadísticas</t>
  </si>
  <si>
    <t xml:space="preserve">3.5.1</t>
  </si>
  <si>
    <t xml:space="preserve">Comando stats</t>
  </si>
  <si>
    <t xml:space="preserve">Keyword: stats</t>
  </si>
  <si>
    <t xml:space="preserve">3.5.2</t>
  </si>
  <si>
    <t xml:space="preserve">Cálculo métricas</t>
  </si>
  <si>
    <t xml:space="preserve">Asignaciones-próximo</t>
  </si>
  <si>
    <t xml:space="preserve">3.5.3</t>
  </si>
  <si>
    <t xml:space="preserve">Formato reporte</t>
  </si>
  <si>
    <t xml:space="preserve">Respuesta formateada</t>
  </si>
  <si>
    <t xml:space="preserve">3.6</t>
  </si>
  <si>
    <t xml:space="preserve">Historial</t>
  </si>
  <si>
    <t xml:space="preserve">3.6.1</t>
  </si>
  <si>
    <t xml:space="preserve">Log temporal en memoria</t>
  </si>
  <si>
    <t xml:space="preserve">3.6.2</t>
  </si>
  <si>
    <t xml:space="preserve">Tracking por sesión</t>
  </si>
  <si>
    <t xml:space="preserve">Historial por usuario</t>
  </si>
  <si>
    <t xml:space="preserve">SUBTOTAL FASE 3:</t>
  </si>
  <si>
    <t xml:space="preserve">FASE 4: FUNCIONALIDADES AVANZADAS</t>
  </si>
  <si>
    <t xml:space="preserve">4.1</t>
  </si>
  <si>
    <t xml:space="preserve">Respuestas Personalizadas</t>
  </si>
  <si>
    <t xml:space="preserve">Templates dinámicos</t>
  </si>
  <si>
    <t xml:space="preserve">4.2</t>
  </si>
  <si>
    <t xml:space="preserve">Múltiples Comandos</t>
  </si>
  <si>
    <t xml:space="preserve">Keywords y sinónimos</t>
  </si>
  <si>
    <t xml:space="preserve">4.3</t>
  </si>
  <si>
    <t xml:space="preserve">Sistema de Logs</t>
  </si>
  <si>
    <t xml:space="preserve">Console logging</t>
  </si>
  <si>
    <t xml:space="preserve">4.4</t>
  </si>
  <si>
    <t xml:space="preserve">Manejo de Errores</t>
  </si>
  <si>
    <t xml:space="preserve">Try-catch y fallbacks</t>
  </si>
  <si>
    <t xml:space="preserve">SUBTOTAL FASE 4:</t>
  </si>
  <si>
    <t xml:space="preserve">FASE 5: INTEGRACIÓN Y API REST</t>
  </si>
  <si>
    <t xml:space="preserve">5.1</t>
  </si>
  <si>
    <t xml:space="preserve">API REST Básica</t>
  </si>
  <si>
    <t xml:space="preserve">Express + endpoints</t>
  </si>
  <si>
    <t xml:space="preserve">5.2</t>
  </si>
  <si>
    <t xml:space="preserve">Endpoint Stats</t>
  </si>
  <si>
    <t xml:space="preserve">GET /v1/stats</t>
  </si>
  <si>
    <t xml:space="preserve">5.3</t>
  </si>
  <si>
    <t xml:space="preserve">Endpoint Mensajes</t>
  </si>
  <si>
    <t xml:space="preserve">POST /v1/messages</t>
  </si>
  <si>
    <t xml:space="preserve">5.4</t>
  </si>
  <si>
    <t xml:space="preserve">Documentación API</t>
  </si>
  <si>
    <t xml:space="preserve">README con ejemplos</t>
  </si>
  <si>
    <t xml:space="preserve">SUBTOTAL FASE 5:</t>
  </si>
  <si>
    <t xml:space="preserve">FASE 6: TESTING Y ASEGURAMIENTO DE CALIDAD</t>
  </si>
  <si>
    <t xml:space="preserve">6.1</t>
  </si>
  <si>
    <t xml:space="preserve">Pruebas Unitarias</t>
  </si>
  <si>
    <t xml:space="preserve">Tests de funciones</t>
  </si>
  <si>
    <t xml:space="preserve">6.2</t>
  </si>
  <si>
    <t xml:space="preserve">Pruebas Integración</t>
  </si>
  <si>
    <t xml:space="preserve">Tests de flujos</t>
  </si>
  <si>
    <t xml:space="preserve">6.3</t>
  </si>
  <si>
    <t xml:space="preserve">Pruebas WhatsApp Real</t>
  </si>
  <si>
    <t xml:space="preserve">QR y envío/recepción</t>
  </si>
  <si>
    <t xml:space="preserve">6.4</t>
  </si>
  <si>
    <t xml:space="preserve">Testing Rotación</t>
  </si>
  <si>
    <t xml:space="preserve">Verificar Round-Robin</t>
  </si>
  <si>
    <t xml:space="preserve">6.5</t>
  </si>
  <si>
    <t xml:space="preserve">Pruebas de Estrés</t>
  </si>
  <si>
    <t xml:space="preserve">Mensajes simultáneos</t>
  </si>
  <si>
    <t xml:space="preserve">6.6</t>
  </si>
  <si>
    <t xml:space="preserve">Corrección Bugs</t>
  </si>
  <si>
    <t xml:space="preserve">Fix problemas</t>
  </si>
  <si>
    <t xml:space="preserve">SUBTOTAL FASE 6:</t>
  </si>
  <si>
    <t xml:space="preserve">FASE 7: DOCUMENTACIÓN</t>
  </si>
  <si>
    <t xml:space="preserve">7.1</t>
  </si>
  <si>
    <t xml:space="preserve">Manual de Usuario</t>
  </si>
  <si>
    <t xml:space="preserve">Guía de comandos</t>
  </si>
  <si>
    <t xml:space="preserve">7.2</t>
  </si>
  <si>
    <t xml:space="preserve">Guía de Instalación</t>
  </si>
  <si>
    <t xml:space="preserve">Scripts e instrucciones</t>
  </si>
  <si>
    <t xml:space="preserve">7.3</t>
  </si>
  <si>
    <t xml:space="preserve">Documentación Técnica</t>
  </si>
  <si>
    <t xml:space="preserve">Arquitectura y código</t>
  </si>
  <si>
    <t xml:space="preserve">7.4</t>
  </si>
  <si>
    <t xml:space="preserve">README Completo</t>
  </si>
  <si>
    <t xml:space="preserve">GitHub con ejemplos</t>
  </si>
  <si>
    <t xml:space="preserve">SUBTOTAL FASE 7:</t>
  </si>
  <si>
    <t xml:space="preserve">FASE 8: DEPLOYMENT Y ENTREGA</t>
  </si>
  <si>
    <t xml:space="preserve">8.1</t>
  </si>
  <si>
    <t xml:space="preserve">Scripts de Inicio</t>
  </si>
  <si>
    <t xml:space="preserve">Auto-inicio automático</t>
  </si>
  <si>
    <t xml:space="preserve">8.2</t>
  </si>
  <si>
    <t xml:space="preserve">Config Producción</t>
  </si>
  <si>
    <t xml:space="preserve">Variables y seguridad</t>
  </si>
  <si>
    <t xml:space="preserve">8.3</t>
  </si>
  <si>
    <t xml:space="preserve">Training Cliente</t>
  </si>
  <si>
    <t xml:space="preserve">Sesión capacitación</t>
  </si>
  <si>
    <t xml:space="preserve">8.4</t>
  </si>
  <si>
    <t xml:space="preserve">Entrega Final</t>
  </si>
  <si>
    <t xml:space="preserve">Transferencia archivos</t>
  </si>
  <si>
    <t xml:space="preserve">SUBTOTAL FASE 8:</t>
  </si>
  <si>
    <t xml:space="preserve">FASE 9: SOPORTE POST-LANZAMIENTO (1 MES)</t>
  </si>
  <si>
    <t xml:space="preserve">9.1</t>
  </si>
  <si>
    <t xml:space="preserve">Soporte Técnico</t>
  </si>
  <si>
    <t xml:space="preserve">Resolución problemas</t>
  </si>
  <si>
    <t xml:space="preserve">9.2</t>
  </si>
  <si>
    <t xml:space="preserve">Ajustes Menores</t>
  </si>
  <si>
    <t xml:space="preserve">Modificaciones</t>
  </si>
  <si>
    <t xml:space="preserve">9.3</t>
  </si>
  <si>
    <t xml:space="preserve">Monitoreo</t>
  </si>
  <si>
    <t xml:space="preserve">Verificación estabilidad</t>
  </si>
  <si>
    <t xml:space="preserve">SUBTOTAL FASE 9:</t>
  </si>
  <si>
    <t xml:space="preserve">TOTAL PROYECTO</t>
  </si>
  <si>
    <t xml:space="preserve">100%</t>
  </si>
  <si>
    <t xml:space="preserve">RESUMEN EJECUTIVO</t>
  </si>
  <si>
    <t xml:space="preserve">Total de Horas:</t>
  </si>
  <si>
    <t xml:space="preserve">horas</t>
  </si>
  <si>
    <t xml:space="preserve">Total de Días (8h/día):</t>
  </si>
  <si>
    <t xml:space="preserve">días laborables</t>
  </si>
  <si>
    <t xml:space="preserve">Semanas (5 días/sem):</t>
  </si>
  <si>
    <t xml:space="preserve">semanas</t>
  </si>
  <si>
    <t xml:space="preserve">Duración con Imprevistos (+30%):</t>
  </si>
  <si>
    <t xml:space="preserve">días calendario</t>
  </si>
  <si>
    <t xml:space="preserve">Tarifa por Hora:</t>
  </si>
  <si>
    <t xml:space="preserve">COSTO TOTAL PROYECTO:</t>
  </si>
  <si>
    <t xml:space="preserve">COMPARACIÓN DE ESCENARIOS</t>
  </si>
  <si>
    <t xml:space="preserve">Escenario</t>
  </si>
  <si>
    <t xml:space="preserve">Días</t>
  </si>
  <si>
    <t xml:space="preserve">Semanas</t>
  </si>
  <si>
    <t xml:space="preserve">Costo USD</t>
  </si>
  <si>
    <t xml:space="preserve">Optimista (-20%)</t>
  </si>
  <si>
    <t xml:space="preserve">REALISTA (Base)</t>
  </si>
  <si>
    <t xml:space="preserve">Conservador (+30%)</t>
  </si>
  <si>
    <t xml:space="preserve">Pesimista (+50%)</t>
  </si>
  <si>
    <t xml:space="preserve">DESGLOSE POR FASE</t>
  </si>
  <si>
    <t xml:space="preserve">Fase</t>
  </si>
  <si>
    <t xml:space="preserve">Costo</t>
  </si>
  <si>
    <t xml:space="preserve">% del Total</t>
  </si>
  <si>
    <t xml:space="preserve">Fase 1 - Análisis y Diseño</t>
  </si>
  <si>
    <t xml:space="preserve">Fase 2 - Configuración Entorno</t>
  </si>
  <si>
    <t xml:space="preserve">Fase 3 - Desarrollo Core</t>
  </si>
  <si>
    <t xml:space="preserve">Fase 4 - Funcionalidades Avanzadas</t>
  </si>
  <si>
    <t xml:space="preserve">Fase 5 - API REST</t>
  </si>
  <si>
    <t xml:space="preserve">Fase 6 - Testing y QA</t>
  </si>
  <si>
    <t xml:space="preserve">Fase 7 - Documentación</t>
  </si>
  <si>
    <t xml:space="preserve">Fase 8 - Deployment</t>
  </si>
  <si>
    <t xml:space="preserve">Fase 9 - Soporte (1 mes)</t>
  </si>
  <si>
    <t xml:space="preserve">NOTAS IMPORTANTES</t>
  </si>
  <si>
    <t xml:space="preserve">• Tiempos estimados REALISTAS basados en experiencia</t>
  </si>
  <si>
    <t xml:space="preserve">• Incluye 1 mes completo de soporte post-lanzamiento</t>
  </si>
  <si>
    <t xml:space="preserve">• NO incluye hosting o infraestructura de servidor</t>
  </si>
  <si>
    <t xml:space="preserve">• Requiere cuenta de WhatsApp Business del cliente</t>
  </si>
  <si>
    <t xml:space="preserve">• Proyecto con BuilderBot (Leifer Méndez)</t>
  </si>
  <si>
    <t xml:space="preserve">• Tecnología: Node.js + Baileys + WhatsApp Web Protocol</t>
  </si>
  <si>
    <t xml:space="preserve">• Sistema de rotación Round-Robin automatizado</t>
  </si>
  <si>
    <t xml:space="preserve">• 5 vendedores configurables con información personalizada</t>
  </si>
  <si>
    <t xml:space="preserve">• AJUSTA LA TARIFA/HORA en celda B6 para recalcular TODO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</si>
</sst>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3"/>
  <sheetViews>
    <sheetView showFormulas="false" showGridLines="true" showRowColHeaders="true" showZeros="true" rightToLeft="false" tabSelected="true" showOutlineSymbols="true" defaultGridColor="true" view="normal" topLeftCell="A1" colorId="64" zoomScale="66" zoomScaleNormal="66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9.21"/>
    <col collapsed="false" customWidth="true" hidden="false" outlineLevel="0" max="2" min="2" style="0" width="60"/>
    <col collapsed="false" customWidth="true" hidden="false" outlineLevel="0" max="3" min="3" style="0" width="25.64"/>
    <col collapsed="false" customWidth="true" hidden="false" outlineLevel="0" max="4" min="4" style="0" width="41.08"/>
    <col collapsed="false" customWidth="true" hidden="false" outlineLevel="0" max="5" min="5" style="0" width="12.7"/>
    <col collapsed="false" customWidth="true" hidden="false" outlineLevel="0" max="6" min="6" style="0" width="12.15"/>
    <col collapsed="false" customWidth="true" hidden="false" outlineLevel="0" max="7" min="7" style="0" width="9.92"/>
    <col collapsed="false" customWidth="true" hidden="false" outlineLevel="0" max="8" min="8" style="0" width="8.25"/>
  </cols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  <c r="E3" s="0" t="s">
        <v>3</v>
      </c>
      <c r="F3" s="1" t="s">
        <v>4</v>
      </c>
    </row>
    <row r="4" customFormat="false" ht="12.8" hidden="false" customHeight="false" outlineLevel="0" collapsed="false">
      <c r="A4" s="0" t="s">
        <v>5</v>
      </c>
      <c r="B4" s="0" t="s">
        <v>6</v>
      </c>
      <c r="E4" s="0" t="s">
        <v>7</v>
      </c>
      <c r="F4" s="0" t="s">
        <v>8</v>
      </c>
    </row>
    <row r="6" customFormat="false" ht="12.8" hidden="false" customHeight="false" outlineLevel="0" collapsed="false">
      <c r="A6" s="0" t="s">
        <v>9</v>
      </c>
      <c r="B6" s="0" t="n">
        <v>50</v>
      </c>
      <c r="C6" s="0" t="s">
        <v>10</v>
      </c>
      <c r="D6" s="0" t="s">
        <v>11</v>
      </c>
    </row>
    <row r="8" customFormat="false" ht="12.8" hidden="false" customHeight="false" outlineLevel="0" collapsed="false">
      <c r="A8" s="0" t="s">
        <v>12</v>
      </c>
      <c r="B8" s="0" t="s">
        <v>13</v>
      </c>
      <c r="C8" s="0" t="s">
        <v>14</v>
      </c>
      <c r="D8" s="0" t="s">
        <v>15</v>
      </c>
      <c r="E8" s="0" t="s">
        <v>16</v>
      </c>
      <c r="F8" s="0" t="s">
        <v>17</v>
      </c>
      <c r="G8" s="0" t="s">
        <v>18</v>
      </c>
      <c r="H8" s="0" t="s">
        <v>19</v>
      </c>
    </row>
    <row r="10" customFormat="false" ht="12.8" hidden="false" customHeight="false" outlineLevel="0" collapsed="false">
      <c r="B10" s="0" t="s">
        <v>20</v>
      </c>
    </row>
    <row r="11" customFormat="false" ht="12.8" hidden="false" customHeight="false" outlineLevel="0" collapsed="false">
      <c r="B11" s="0" t="s">
        <v>21</v>
      </c>
    </row>
    <row r="12" customFormat="false" ht="12.8" hidden="false" customHeight="false" outlineLevel="0" collapsed="false">
      <c r="B12" s="0" t="s">
        <v>20</v>
      </c>
    </row>
    <row r="13" customFormat="false" ht="12.8" hidden="false" customHeight="false" outlineLevel="0" collapsed="false">
      <c r="A13" s="0" t="s">
        <v>22</v>
      </c>
      <c r="B13" s="0" t="s">
        <v>23</v>
      </c>
    </row>
    <row r="14" customFormat="false" ht="12.8" hidden="false" customHeight="false" outlineLevel="0" collapsed="false">
      <c r="A14" s="0" t="s">
        <v>24</v>
      </c>
      <c r="B14" s="0" t="s">
        <v>25</v>
      </c>
      <c r="C14" s="0" t="s">
        <v>26</v>
      </c>
      <c r="D14" s="0" t="n">
        <v>2</v>
      </c>
      <c r="E14" s="0" t="n">
        <f aca="false">D14/8</f>
        <v>0.25</v>
      </c>
      <c r="F14" s="0" t="n">
        <f aca="false">$B$6</f>
        <v>50</v>
      </c>
      <c r="G14" s="0" t="n">
        <f aca="false">D14*F14</f>
        <v>100</v>
      </c>
      <c r="H14" s="0" t="e">
        <f aca="false">G14/$G$120</f>
        <v>#DIV/0!</v>
      </c>
    </row>
    <row r="15" customFormat="false" ht="12.8" hidden="false" customHeight="false" outlineLevel="0" collapsed="false">
      <c r="A15" s="0" t="s">
        <v>27</v>
      </c>
      <c r="B15" s="0" t="s">
        <v>28</v>
      </c>
      <c r="C15" s="0" t="s">
        <v>29</v>
      </c>
      <c r="D15" s="0" t="n">
        <v>2</v>
      </c>
      <c r="E15" s="0" t="n">
        <f aca="false">D15/8</f>
        <v>0.25</v>
      </c>
      <c r="F15" s="0" t="n">
        <f aca="false">$B$6</f>
        <v>50</v>
      </c>
      <c r="G15" s="0" t="n">
        <f aca="false">D15*F15</f>
        <v>100</v>
      </c>
      <c r="H15" s="0" t="e">
        <f aca="false">G15/$G$120</f>
        <v>#DIV/0!</v>
      </c>
    </row>
    <row r="16" customFormat="false" ht="12.8" hidden="false" customHeight="false" outlineLevel="0" collapsed="false">
      <c r="A16" s="0" t="s">
        <v>30</v>
      </c>
      <c r="B16" s="0" t="s">
        <v>31</v>
      </c>
      <c r="C16" s="0" t="s">
        <v>32</v>
      </c>
      <c r="D16" s="0" t="n">
        <v>2</v>
      </c>
      <c r="E16" s="0" t="n">
        <f aca="false">D16/8</f>
        <v>0.25</v>
      </c>
      <c r="F16" s="0" t="n">
        <f aca="false">$B$6</f>
        <v>50</v>
      </c>
      <c r="G16" s="0" t="n">
        <f aca="false">D16*F16</f>
        <v>100</v>
      </c>
      <c r="H16" s="0" t="e">
        <f aca="false">G16/$G$120</f>
        <v>#DIV/0!</v>
      </c>
    </row>
    <row r="18" customFormat="false" ht="12.8" hidden="false" customHeight="false" outlineLevel="0" collapsed="false">
      <c r="A18" s="0" t="s">
        <v>33</v>
      </c>
      <c r="B18" s="0" t="s">
        <v>34</v>
      </c>
    </row>
    <row r="19" customFormat="false" ht="12.8" hidden="false" customHeight="false" outlineLevel="0" collapsed="false">
      <c r="A19" s="0" t="s">
        <v>35</v>
      </c>
      <c r="B19" s="0" t="s">
        <v>36</v>
      </c>
      <c r="C19" s="0" t="s">
        <v>37</v>
      </c>
      <c r="D19" s="0" t="n">
        <v>2</v>
      </c>
      <c r="E19" s="0" t="n">
        <f aca="false">D19/8</f>
        <v>0.25</v>
      </c>
      <c r="F19" s="0" t="n">
        <f aca="false">$B$6</f>
        <v>50</v>
      </c>
      <c r="G19" s="0" t="n">
        <f aca="false">D19*F19</f>
        <v>100</v>
      </c>
      <c r="H19" s="0" t="e">
        <f aca="false">G19/$G$120</f>
        <v>#DIV/0!</v>
      </c>
    </row>
    <row r="20" customFormat="false" ht="12.8" hidden="false" customHeight="false" outlineLevel="0" collapsed="false">
      <c r="A20" s="0" t="s">
        <v>38</v>
      </c>
      <c r="B20" s="0" t="s">
        <v>39</v>
      </c>
      <c r="C20" s="0" t="s">
        <v>40</v>
      </c>
      <c r="D20" s="0" t="n">
        <v>2</v>
      </c>
      <c r="E20" s="0" t="n">
        <f aca="false">D20/8</f>
        <v>0.25</v>
      </c>
      <c r="F20" s="0" t="n">
        <f aca="false">$B$6</f>
        <v>50</v>
      </c>
      <c r="G20" s="0" t="n">
        <f aca="false">D20*F20</f>
        <v>100</v>
      </c>
      <c r="H20" s="0" t="e">
        <f aca="false">G20/$G$120</f>
        <v>#DIV/0!</v>
      </c>
    </row>
    <row r="21" customFormat="false" ht="12.8" hidden="false" customHeight="false" outlineLevel="0" collapsed="false">
      <c r="A21" s="0" t="s">
        <v>41</v>
      </c>
      <c r="B21" s="0" t="s">
        <v>42</v>
      </c>
      <c r="C21" s="0" t="s">
        <v>43</v>
      </c>
      <c r="D21" s="0" t="n">
        <v>2</v>
      </c>
      <c r="E21" s="0" t="n">
        <f aca="false">D21/8</f>
        <v>0.25</v>
      </c>
      <c r="F21" s="0" t="n">
        <f aca="false">$B$6</f>
        <v>50</v>
      </c>
      <c r="G21" s="0" t="n">
        <f aca="false">D21*F21</f>
        <v>100</v>
      </c>
      <c r="H21" s="0" t="e">
        <f aca="false">G21/$G$120</f>
        <v>#DIV/0!</v>
      </c>
    </row>
    <row r="23" customFormat="false" ht="12.8" hidden="false" customHeight="false" outlineLevel="0" collapsed="false">
      <c r="A23" s="0" t="s">
        <v>44</v>
      </c>
      <c r="B23" s="0" t="s">
        <v>45</v>
      </c>
    </row>
    <row r="24" customFormat="false" ht="12.8" hidden="false" customHeight="false" outlineLevel="0" collapsed="false">
      <c r="A24" s="0" t="s">
        <v>46</v>
      </c>
      <c r="B24" s="0" t="s">
        <v>47</v>
      </c>
      <c r="C24" s="0" t="s">
        <v>48</v>
      </c>
      <c r="D24" s="0" t="n">
        <v>2</v>
      </c>
      <c r="E24" s="0" t="n">
        <f aca="false">D24/8</f>
        <v>0.25</v>
      </c>
      <c r="F24" s="0" t="n">
        <f aca="false">$B$6</f>
        <v>50</v>
      </c>
      <c r="G24" s="0" t="n">
        <f aca="false">D24*F24</f>
        <v>100</v>
      </c>
      <c r="H24" s="0" t="e">
        <f aca="false">G24/$G$120</f>
        <v>#DIV/0!</v>
      </c>
    </row>
    <row r="25" customFormat="false" ht="12.8" hidden="false" customHeight="false" outlineLevel="0" collapsed="false">
      <c r="A25" s="0" t="s">
        <v>49</v>
      </c>
      <c r="B25" s="0" t="s">
        <v>50</v>
      </c>
      <c r="C25" s="0" t="s">
        <v>51</v>
      </c>
      <c r="D25" s="0" t="n">
        <v>2</v>
      </c>
      <c r="E25" s="0" t="n">
        <f aca="false">D25/8</f>
        <v>0.25</v>
      </c>
      <c r="F25" s="0" t="n">
        <f aca="false">$B$6</f>
        <v>50</v>
      </c>
      <c r="G25" s="0" t="n">
        <f aca="false">D25*F25</f>
        <v>100</v>
      </c>
      <c r="H25" s="0" t="e">
        <f aca="false">G25/$G$120</f>
        <v>#DIV/0!</v>
      </c>
    </row>
    <row r="27" customFormat="false" ht="12.8" hidden="false" customHeight="false" outlineLevel="0" collapsed="false">
      <c r="A27" s="0" t="s">
        <v>52</v>
      </c>
      <c r="B27" s="0" t="s">
        <v>53</v>
      </c>
    </row>
    <row r="28" customFormat="false" ht="12.8" hidden="false" customHeight="false" outlineLevel="0" collapsed="false">
      <c r="A28" s="0" t="s">
        <v>54</v>
      </c>
      <c r="B28" s="0" t="s">
        <v>55</v>
      </c>
      <c r="C28" s="0" t="s">
        <v>56</v>
      </c>
      <c r="D28" s="0" t="n">
        <v>2</v>
      </c>
      <c r="E28" s="0" t="n">
        <f aca="false">D28/8</f>
        <v>0.25</v>
      </c>
      <c r="F28" s="0" t="n">
        <f aca="false">$B$6</f>
        <v>50</v>
      </c>
      <c r="G28" s="0" t="n">
        <f aca="false">D28*F28</f>
        <v>100</v>
      </c>
      <c r="H28" s="0" t="e">
        <f aca="false">G28/$G$120</f>
        <v>#DIV/0!</v>
      </c>
    </row>
    <row r="29" customFormat="false" ht="12.8" hidden="false" customHeight="false" outlineLevel="0" collapsed="false">
      <c r="A29" s="0" t="s">
        <v>57</v>
      </c>
      <c r="B29" s="0" t="s">
        <v>58</v>
      </c>
      <c r="C29" s="0" t="s">
        <v>59</v>
      </c>
      <c r="D29" s="0" t="n">
        <v>2</v>
      </c>
      <c r="E29" s="0" t="n">
        <f aca="false">D29/8</f>
        <v>0.25</v>
      </c>
      <c r="F29" s="0" t="n">
        <f aca="false">$B$6</f>
        <v>50</v>
      </c>
      <c r="G29" s="0" t="n">
        <f aca="false">D29*F29</f>
        <v>100</v>
      </c>
      <c r="H29" s="0" t="e">
        <f aca="false">G29/$G$120</f>
        <v>#DIV/0!</v>
      </c>
    </row>
    <row r="30" customFormat="false" ht="12.8" hidden="false" customHeight="false" outlineLevel="0" collapsed="false">
      <c r="A30" s="0" t="s">
        <v>60</v>
      </c>
      <c r="B30" s="0" t="s">
        <v>61</v>
      </c>
      <c r="C30" s="0" t="s">
        <v>62</v>
      </c>
      <c r="D30" s="0" t="n">
        <v>2</v>
      </c>
      <c r="E30" s="0" t="n">
        <f aca="false">D30/8</f>
        <v>0.25</v>
      </c>
      <c r="F30" s="0" t="n">
        <f aca="false">$B$6</f>
        <v>50</v>
      </c>
      <c r="G30" s="0" t="n">
        <f aca="false">D30*F30</f>
        <v>100</v>
      </c>
      <c r="H30" s="0" t="e">
        <f aca="false">G30/$G$120</f>
        <v>#DIV/0!</v>
      </c>
    </row>
    <row r="32" customFormat="false" ht="12.8" hidden="false" customHeight="false" outlineLevel="0" collapsed="false">
      <c r="B32" s="0" t="s">
        <v>63</v>
      </c>
      <c r="D32" s="0" t="n">
        <f aca="false">D14+D15+D16+D19+D20+D21+D24+D25+D28+D29+D30</f>
        <v>22</v>
      </c>
      <c r="E32" s="0" t="n">
        <f aca="false">D32/8</f>
        <v>2.75</v>
      </c>
      <c r="G32" s="0" t="n">
        <f aca="false">G14+G15+G16+G19+G20+G21+G24+G25+G28+G29+G30</f>
        <v>1100</v>
      </c>
      <c r="H32" s="0" t="e">
        <f aca="false">G32/$G$120</f>
        <v>#DIV/0!</v>
      </c>
    </row>
    <row r="34" customFormat="false" ht="12.8" hidden="false" customHeight="false" outlineLevel="0" collapsed="false">
      <c r="B34" s="0" t="s">
        <v>20</v>
      </c>
    </row>
    <row r="35" customFormat="false" ht="12.8" hidden="false" customHeight="false" outlineLevel="0" collapsed="false">
      <c r="B35" s="0" t="s">
        <v>64</v>
      </c>
    </row>
    <row r="36" customFormat="false" ht="12.8" hidden="false" customHeight="false" outlineLevel="0" collapsed="false">
      <c r="B36" s="0" t="s">
        <v>20</v>
      </c>
    </row>
    <row r="37" customFormat="false" ht="12.8" hidden="false" customHeight="false" outlineLevel="0" collapsed="false">
      <c r="A37" s="0" t="s">
        <v>65</v>
      </c>
      <c r="B37" s="0" t="s">
        <v>66</v>
      </c>
    </row>
    <row r="38" customFormat="false" ht="12.8" hidden="false" customHeight="false" outlineLevel="0" collapsed="false">
      <c r="A38" s="0" t="s">
        <v>67</v>
      </c>
      <c r="B38" s="0" t="s">
        <v>68</v>
      </c>
      <c r="C38" s="0" t="s">
        <v>69</v>
      </c>
      <c r="D38" s="0" t="n">
        <v>3</v>
      </c>
      <c r="E38" s="0" t="n">
        <f aca="false">D38/8</f>
        <v>0.375</v>
      </c>
      <c r="F38" s="0" t="n">
        <f aca="false">$B$6</f>
        <v>50</v>
      </c>
      <c r="G38" s="0" t="n">
        <f aca="false">D38*F38</f>
        <v>150</v>
      </c>
      <c r="H38" s="0" t="e">
        <f aca="false">G38/$G$120</f>
        <v>#DIV/0!</v>
      </c>
    </row>
    <row r="39" customFormat="false" ht="12.8" hidden="false" customHeight="false" outlineLevel="0" collapsed="false">
      <c r="A39" s="0" t="s">
        <v>70</v>
      </c>
      <c r="B39" s="0" t="s">
        <v>71</v>
      </c>
      <c r="C39" s="0" t="s">
        <v>72</v>
      </c>
      <c r="D39" s="0" t="n">
        <v>2</v>
      </c>
      <c r="E39" s="0" t="n">
        <f aca="false">D39/8</f>
        <v>0.25</v>
      </c>
      <c r="F39" s="0" t="n">
        <f aca="false">$B$6</f>
        <v>50</v>
      </c>
      <c r="G39" s="0" t="n">
        <f aca="false">D39*F39</f>
        <v>100</v>
      </c>
      <c r="H39" s="0" t="e">
        <f aca="false">G39/$G$120</f>
        <v>#DIV/0!</v>
      </c>
    </row>
    <row r="40" customFormat="false" ht="12.8" hidden="false" customHeight="false" outlineLevel="0" collapsed="false">
      <c r="A40" s="0" t="s">
        <v>73</v>
      </c>
      <c r="B40" s="0" t="s">
        <v>74</v>
      </c>
      <c r="C40" s="0" t="s">
        <v>75</v>
      </c>
      <c r="D40" s="0" t="n">
        <v>2</v>
      </c>
      <c r="E40" s="0" t="n">
        <f aca="false">D40/8</f>
        <v>0.25</v>
      </c>
      <c r="F40" s="0" t="n">
        <f aca="false">$B$6</f>
        <v>50</v>
      </c>
      <c r="G40" s="0" t="n">
        <f aca="false">D40*F40</f>
        <v>100</v>
      </c>
      <c r="H40" s="0" t="e">
        <f aca="false">G40/$G$120</f>
        <v>#DIV/0!</v>
      </c>
    </row>
    <row r="42" customFormat="false" ht="12.8" hidden="false" customHeight="false" outlineLevel="0" collapsed="false">
      <c r="A42" s="0" t="s">
        <v>76</v>
      </c>
      <c r="B42" s="0" t="s">
        <v>77</v>
      </c>
    </row>
    <row r="43" customFormat="false" ht="12.8" hidden="false" customHeight="false" outlineLevel="0" collapsed="false">
      <c r="A43" s="0" t="s">
        <v>78</v>
      </c>
      <c r="B43" s="0" t="s">
        <v>79</v>
      </c>
      <c r="C43" s="0" t="s">
        <v>80</v>
      </c>
      <c r="D43" s="0" t="n">
        <v>1</v>
      </c>
      <c r="E43" s="0" t="n">
        <f aca="false">D43/8</f>
        <v>0.125</v>
      </c>
      <c r="F43" s="0" t="n">
        <f aca="false">$B$6</f>
        <v>50</v>
      </c>
      <c r="G43" s="0" t="n">
        <f aca="false">D43*F43</f>
        <v>50</v>
      </c>
      <c r="H43" s="0" t="e">
        <f aca="false">G43/$G$120</f>
        <v>#DIV/0!</v>
      </c>
    </row>
    <row r="44" customFormat="false" ht="12.8" hidden="false" customHeight="false" outlineLevel="0" collapsed="false">
      <c r="A44" s="0" t="s">
        <v>81</v>
      </c>
      <c r="B44" s="0" t="s">
        <v>82</v>
      </c>
      <c r="C44" s="0" t="s">
        <v>83</v>
      </c>
      <c r="D44" s="0" t="n">
        <v>1</v>
      </c>
      <c r="E44" s="0" t="n">
        <f aca="false">D44/8</f>
        <v>0.125</v>
      </c>
      <c r="F44" s="0" t="n">
        <f aca="false">$B$6</f>
        <v>50</v>
      </c>
      <c r="G44" s="0" t="n">
        <f aca="false">D44*F44</f>
        <v>50</v>
      </c>
      <c r="H44" s="0" t="e">
        <f aca="false">G44/$G$120</f>
        <v>#DIV/0!</v>
      </c>
    </row>
    <row r="46" customFormat="false" ht="12.8" hidden="false" customHeight="false" outlineLevel="0" collapsed="false">
      <c r="A46" s="0" t="s">
        <v>84</v>
      </c>
      <c r="B46" s="0" t="s">
        <v>85</v>
      </c>
    </row>
    <row r="47" customFormat="false" ht="12.8" hidden="false" customHeight="false" outlineLevel="0" collapsed="false">
      <c r="A47" s="0" t="s">
        <v>86</v>
      </c>
      <c r="B47" s="0" t="s">
        <v>87</v>
      </c>
      <c r="C47" s="0" t="s">
        <v>88</v>
      </c>
      <c r="D47" s="0" t="n">
        <v>2</v>
      </c>
      <c r="E47" s="0" t="n">
        <f aca="false">D47/8</f>
        <v>0.25</v>
      </c>
      <c r="F47" s="0" t="n">
        <f aca="false">$B$6</f>
        <v>50</v>
      </c>
      <c r="G47" s="0" t="n">
        <f aca="false">D47*F47</f>
        <v>100</v>
      </c>
      <c r="H47" s="0" t="e">
        <f aca="false">G47/$G$120</f>
        <v>#DIV/0!</v>
      </c>
    </row>
    <row r="48" customFormat="false" ht="12.8" hidden="false" customHeight="false" outlineLevel="0" collapsed="false">
      <c r="A48" s="0" t="s">
        <v>89</v>
      </c>
      <c r="B48" s="0" t="s">
        <v>90</v>
      </c>
      <c r="C48" s="0" t="s">
        <v>91</v>
      </c>
      <c r="D48" s="0" t="n">
        <v>2</v>
      </c>
      <c r="E48" s="0" t="n">
        <f aca="false">D48/8</f>
        <v>0.25</v>
      </c>
      <c r="F48" s="0" t="n">
        <f aca="false">$B$6</f>
        <v>50</v>
      </c>
      <c r="G48" s="0" t="n">
        <f aca="false">D48*F48</f>
        <v>100</v>
      </c>
      <c r="H48" s="0" t="e">
        <f aca="false">G48/$G$120</f>
        <v>#DIV/0!</v>
      </c>
    </row>
    <row r="49" customFormat="false" ht="12.8" hidden="false" customHeight="false" outlineLevel="0" collapsed="false">
      <c r="A49" s="0" t="s">
        <v>92</v>
      </c>
      <c r="B49" s="0" t="s">
        <v>93</v>
      </c>
      <c r="C49" s="0" t="s">
        <v>94</v>
      </c>
      <c r="D49" s="0" t="n">
        <v>2</v>
      </c>
      <c r="E49" s="0" t="n">
        <f aca="false">D49/8</f>
        <v>0.25</v>
      </c>
      <c r="F49" s="0" t="n">
        <f aca="false">$B$6</f>
        <v>50</v>
      </c>
      <c r="G49" s="0" t="n">
        <f aca="false">D49*F49</f>
        <v>100</v>
      </c>
      <c r="H49" s="0" t="e">
        <f aca="false">G49/$G$120</f>
        <v>#DIV/0!</v>
      </c>
    </row>
    <row r="51" customFormat="false" ht="12.8" hidden="false" customHeight="false" outlineLevel="0" collapsed="false">
      <c r="B51" s="0" t="s">
        <v>95</v>
      </c>
      <c r="D51" s="0" t="n">
        <f aca="false">D38+D39+D40+D43+D44+D47+D48+D49</f>
        <v>15</v>
      </c>
      <c r="E51" s="0" t="n">
        <f aca="false">D51/8</f>
        <v>1.875</v>
      </c>
      <c r="G51" s="0" t="n">
        <f aca="false">G38+G39+G40+G43+G44+G47+G48+G49</f>
        <v>750</v>
      </c>
      <c r="H51" s="0" t="e">
        <f aca="false">G51/$G$120</f>
        <v>#DIV/0!</v>
      </c>
    </row>
    <row r="53" customFormat="false" ht="12.8" hidden="false" customHeight="false" outlineLevel="0" collapsed="false">
      <c r="B53" s="0" t="s">
        <v>20</v>
      </c>
    </row>
    <row r="54" customFormat="false" ht="12.8" hidden="false" customHeight="false" outlineLevel="0" collapsed="false">
      <c r="B54" s="0" t="s">
        <v>96</v>
      </c>
    </row>
    <row r="55" customFormat="false" ht="12.8" hidden="false" customHeight="false" outlineLevel="0" collapsed="false">
      <c r="B55" s="0" t="s">
        <v>20</v>
      </c>
    </row>
    <row r="56" customFormat="false" ht="12.8" hidden="false" customHeight="false" outlineLevel="0" collapsed="false">
      <c r="A56" s="0" t="s">
        <v>97</v>
      </c>
      <c r="B56" s="0" t="s">
        <v>98</v>
      </c>
    </row>
    <row r="57" customFormat="false" ht="12.8" hidden="false" customHeight="false" outlineLevel="0" collapsed="false">
      <c r="A57" s="0" t="s">
        <v>99</v>
      </c>
      <c r="B57" s="0" t="s">
        <v>100</v>
      </c>
      <c r="C57" s="0" t="s">
        <v>101</v>
      </c>
      <c r="D57" s="0" t="n">
        <v>2</v>
      </c>
      <c r="E57" s="0" t="n">
        <f aca="false">D57/8</f>
        <v>0.25</v>
      </c>
      <c r="F57" s="0" t="n">
        <f aca="false">$B$6</f>
        <v>50</v>
      </c>
      <c r="G57" s="0" t="n">
        <f aca="false">D57*F57</f>
        <v>100</v>
      </c>
      <c r="H57" s="0" t="e">
        <f aca="false">G57/$G$120</f>
        <v>#DIV/0!</v>
      </c>
    </row>
    <row r="58" customFormat="false" ht="12.8" hidden="false" customHeight="false" outlineLevel="0" collapsed="false">
      <c r="A58" s="0" t="s">
        <v>102</v>
      </c>
      <c r="B58" s="0" t="s">
        <v>103</v>
      </c>
      <c r="C58" s="0" t="s">
        <v>104</v>
      </c>
      <c r="D58" s="0" t="n">
        <v>2</v>
      </c>
      <c r="E58" s="0" t="n">
        <f aca="false">D58/8</f>
        <v>0.25</v>
      </c>
      <c r="F58" s="0" t="n">
        <f aca="false">$B$6</f>
        <v>50</v>
      </c>
      <c r="G58" s="0" t="n">
        <f aca="false">D58*F58</f>
        <v>100</v>
      </c>
      <c r="H58" s="0" t="e">
        <f aca="false">G58/$G$120</f>
        <v>#DIV/0!</v>
      </c>
    </row>
    <row r="60" customFormat="false" ht="12.8" hidden="false" customHeight="false" outlineLevel="0" collapsed="false">
      <c r="A60" s="0" t="s">
        <v>105</v>
      </c>
      <c r="B60" s="0" t="s">
        <v>106</v>
      </c>
    </row>
    <row r="61" customFormat="false" ht="12.8" hidden="false" customHeight="false" outlineLevel="0" collapsed="false">
      <c r="A61" s="0" t="s">
        <v>107</v>
      </c>
      <c r="B61" s="0" t="s">
        <v>108</v>
      </c>
      <c r="C61" s="0" t="s">
        <v>109</v>
      </c>
      <c r="D61" s="0" t="n">
        <v>3</v>
      </c>
      <c r="E61" s="0" t="n">
        <f aca="false">D61/8</f>
        <v>0.375</v>
      </c>
      <c r="F61" s="0" t="n">
        <f aca="false">$B$6</f>
        <v>50</v>
      </c>
      <c r="G61" s="0" t="n">
        <f aca="false">D61*F61</f>
        <v>150</v>
      </c>
      <c r="H61" s="0" t="e">
        <f aca="false">G61/$G$120</f>
        <v>#DIV/0!</v>
      </c>
    </row>
    <row r="62" customFormat="false" ht="12.8" hidden="false" customHeight="false" outlineLevel="0" collapsed="false">
      <c r="A62" s="0" t="s">
        <v>110</v>
      </c>
      <c r="B62" s="0" t="s">
        <v>111</v>
      </c>
      <c r="C62" s="0" t="s">
        <v>112</v>
      </c>
      <c r="D62" s="0" t="n">
        <v>2</v>
      </c>
      <c r="E62" s="0" t="n">
        <f aca="false">D62/8</f>
        <v>0.25</v>
      </c>
      <c r="F62" s="0" t="n">
        <f aca="false">$B$6</f>
        <v>50</v>
      </c>
      <c r="G62" s="0" t="n">
        <f aca="false">D62*F62</f>
        <v>100</v>
      </c>
      <c r="H62" s="0" t="e">
        <f aca="false">G62/$G$120</f>
        <v>#DIV/0!</v>
      </c>
    </row>
    <row r="63" customFormat="false" ht="12.8" hidden="false" customHeight="false" outlineLevel="0" collapsed="false">
      <c r="A63" s="0" t="s">
        <v>113</v>
      </c>
      <c r="B63" s="0" t="s">
        <v>114</v>
      </c>
      <c r="C63" s="0" t="s">
        <v>115</v>
      </c>
      <c r="D63" s="0" t="n">
        <v>1</v>
      </c>
      <c r="E63" s="0" t="n">
        <f aca="false">D63/8</f>
        <v>0.125</v>
      </c>
      <c r="F63" s="0" t="n">
        <f aca="false">$B$6</f>
        <v>50</v>
      </c>
      <c r="G63" s="0" t="n">
        <f aca="false">D63*F63</f>
        <v>50</v>
      </c>
      <c r="H63" s="0" t="e">
        <f aca="false">G63/$G$120</f>
        <v>#DIV/0!</v>
      </c>
    </row>
    <row r="65" customFormat="false" ht="12.8" hidden="false" customHeight="false" outlineLevel="0" collapsed="false">
      <c r="A65" s="0" t="s">
        <v>116</v>
      </c>
      <c r="B65" s="0" t="s">
        <v>117</v>
      </c>
    </row>
    <row r="66" customFormat="false" ht="12.8" hidden="false" customHeight="false" outlineLevel="0" collapsed="false">
      <c r="A66" s="0" t="s">
        <v>118</v>
      </c>
      <c r="B66" s="0" t="s">
        <v>119</v>
      </c>
      <c r="C66" s="0" t="s">
        <v>120</v>
      </c>
      <c r="D66" s="0" t="n">
        <v>2</v>
      </c>
      <c r="E66" s="0" t="n">
        <f aca="false">D66/8</f>
        <v>0.25</v>
      </c>
      <c r="F66" s="0" t="n">
        <f aca="false">$B$6</f>
        <v>50</v>
      </c>
      <c r="G66" s="0" t="n">
        <f aca="false">D66*F66</f>
        <v>100</v>
      </c>
      <c r="H66" s="0" t="e">
        <f aca="false">G66/$G$120</f>
        <v>#DIV/0!</v>
      </c>
    </row>
    <row r="67" customFormat="false" ht="12.8" hidden="false" customHeight="false" outlineLevel="0" collapsed="false">
      <c r="A67" s="0" t="s">
        <v>121</v>
      </c>
      <c r="B67" s="0" t="s">
        <v>122</v>
      </c>
      <c r="C67" s="0" t="s">
        <v>123</v>
      </c>
      <c r="D67" s="0" t="n">
        <v>3</v>
      </c>
      <c r="E67" s="0" t="n">
        <f aca="false">D67/8</f>
        <v>0.375</v>
      </c>
      <c r="F67" s="0" t="n">
        <f aca="false">$B$6</f>
        <v>50</v>
      </c>
      <c r="G67" s="0" t="n">
        <f aca="false">D67*F67</f>
        <v>150</v>
      </c>
      <c r="H67" s="0" t="e">
        <f aca="false">G67/$G$120</f>
        <v>#DIV/0!</v>
      </c>
    </row>
    <row r="68" customFormat="false" ht="12.8" hidden="false" customHeight="false" outlineLevel="0" collapsed="false">
      <c r="A68" s="0" t="s">
        <v>124</v>
      </c>
      <c r="B68" s="0" t="s">
        <v>125</v>
      </c>
      <c r="C68" s="0" t="s">
        <v>126</v>
      </c>
      <c r="D68" s="0" t="n">
        <v>3</v>
      </c>
      <c r="E68" s="0" t="n">
        <f aca="false">D68/8</f>
        <v>0.375</v>
      </c>
      <c r="F68" s="0" t="n">
        <f aca="false">$B$6</f>
        <v>50</v>
      </c>
      <c r="G68" s="0" t="n">
        <f aca="false">D68*F68</f>
        <v>150</v>
      </c>
      <c r="H68" s="0" t="e">
        <f aca="false">G68/$G$120</f>
        <v>#DIV/0!</v>
      </c>
    </row>
    <row r="70" customFormat="false" ht="12.8" hidden="false" customHeight="false" outlineLevel="0" collapsed="false">
      <c r="A70" s="0" t="s">
        <v>127</v>
      </c>
      <c r="B70" s="0" t="s">
        <v>128</v>
      </c>
    </row>
    <row r="71" customFormat="false" ht="12.8" hidden="false" customHeight="false" outlineLevel="0" collapsed="false">
      <c r="A71" s="0" t="s">
        <v>129</v>
      </c>
      <c r="B71" s="0" t="s">
        <v>130</v>
      </c>
      <c r="C71" s="0" t="s">
        <v>131</v>
      </c>
      <c r="D71" s="0" t="n">
        <v>1</v>
      </c>
      <c r="E71" s="0" t="n">
        <f aca="false">D71/8</f>
        <v>0.125</v>
      </c>
      <c r="F71" s="0" t="n">
        <f aca="false">$B$6</f>
        <v>50</v>
      </c>
      <c r="G71" s="0" t="n">
        <f aca="false">D71*F71</f>
        <v>50</v>
      </c>
      <c r="H71" s="0" t="e">
        <f aca="false">G71/$G$120</f>
        <v>#DIV/0!</v>
      </c>
    </row>
    <row r="72" customFormat="false" ht="12.8" hidden="false" customHeight="false" outlineLevel="0" collapsed="false">
      <c r="A72" s="0" t="s">
        <v>132</v>
      </c>
      <c r="B72" s="0" t="s">
        <v>133</v>
      </c>
      <c r="C72" s="0" t="s">
        <v>134</v>
      </c>
      <c r="D72" s="0" t="n">
        <v>2</v>
      </c>
      <c r="E72" s="0" t="n">
        <f aca="false">D72/8</f>
        <v>0.25</v>
      </c>
      <c r="F72" s="0" t="n">
        <f aca="false">$B$6</f>
        <v>50</v>
      </c>
      <c r="G72" s="0" t="n">
        <f aca="false">D72*F72</f>
        <v>100</v>
      </c>
      <c r="H72" s="0" t="e">
        <f aca="false">G72/$G$120</f>
        <v>#DIV/0!</v>
      </c>
    </row>
    <row r="74" customFormat="false" ht="12.8" hidden="false" customHeight="false" outlineLevel="0" collapsed="false">
      <c r="A74" s="0" t="s">
        <v>135</v>
      </c>
      <c r="B74" s="0" t="s">
        <v>136</v>
      </c>
    </row>
    <row r="75" customFormat="false" ht="12.8" hidden="false" customHeight="false" outlineLevel="0" collapsed="false">
      <c r="A75" s="0" t="s">
        <v>137</v>
      </c>
      <c r="B75" s="0" t="s">
        <v>138</v>
      </c>
      <c r="C75" s="0" t="s">
        <v>139</v>
      </c>
      <c r="D75" s="0" t="n">
        <v>1</v>
      </c>
      <c r="E75" s="0" t="n">
        <f aca="false">D75/8</f>
        <v>0.125</v>
      </c>
      <c r="F75" s="0" t="n">
        <f aca="false">$B$6</f>
        <v>50</v>
      </c>
      <c r="G75" s="0" t="n">
        <f aca="false">D75*F75</f>
        <v>50</v>
      </c>
      <c r="H75" s="0" t="e">
        <f aca="false">G75/$G$120</f>
        <v>#DIV/0!</v>
      </c>
    </row>
    <row r="76" customFormat="false" ht="12.8" hidden="false" customHeight="false" outlineLevel="0" collapsed="false">
      <c r="A76" s="0" t="s">
        <v>140</v>
      </c>
      <c r="B76" s="0" t="s">
        <v>141</v>
      </c>
      <c r="C76" s="0" t="s">
        <v>142</v>
      </c>
      <c r="D76" s="0" t="n">
        <v>2</v>
      </c>
      <c r="E76" s="0" t="n">
        <f aca="false">D76/8</f>
        <v>0.25</v>
      </c>
      <c r="F76" s="0" t="n">
        <f aca="false">$B$6</f>
        <v>50</v>
      </c>
      <c r="G76" s="0" t="n">
        <f aca="false">D76*F76</f>
        <v>100</v>
      </c>
      <c r="H76" s="0" t="e">
        <f aca="false">G76/$G$120</f>
        <v>#DIV/0!</v>
      </c>
    </row>
    <row r="77" customFormat="false" ht="12.8" hidden="false" customHeight="false" outlineLevel="0" collapsed="false">
      <c r="A77" s="0" t="s">
        <v>143</v>
      </c>
      <c r="B77" s="0" t="s">
        <v>144</v>
      </c>
      <c r="C77" s="0" t="s">
        <v>145</v>
      </c>
      <c r="D77" s="0" t="n">
        <v>2</v>
      </c>
      <c r="E77" s="0" t="n">
        <f aca="false">D77/8</f>
        <v>0.25</v>
      </c>
      <c r="F77" s="0" t="n">
        <f aca="false">$B$6</f>
        <v>50</v>
      </c>
      <c r="G77" s="0" t="n">
        <f aca="false">D77*F77</f>
        <v>100</v>
      </c>
      <c r="H77" s="0" t="e">
        <f aca="false">G77/$G$120</f>
        <v>#DIV/0!</v>
      </c>
    </row>
    <row r="79" customFormat="false" ht="12.8" hidden="false" customHeight="false" outlineLevel="0" collapsed="false">
      <c r="A79" s="0" t="s">
        <v>146</v>
      </c>
      <c r="B79" s="0" t="s">
        <v>147</v>
      </c>
    </row>
    <row r="80" customFormat="false" ht="12.8" hidden="false" customHeight="false" outlineLevel="0" collapsed="false">
      <c r="A80" s="0" t="s">
        <v>148</v>
      </c>
      <c r="B80" s="0" t="s">
        <v>51</v>
      </c>
      <c r="C80" s="0" t="s">
        <v>149</v>
      </c>
      <c r="D80" s="0" t="n">
        <v>2</v>
      </c>
      <c r="E80" s="0" t="n">
        <f aca="false">D80/8</f>
        <v>0.25</v>
      </c>
      <c r="F80" s="0" t="n">
        <f aca="false">$B$6</f>
        <v>50</v>
      </c>
      <c r="G80" s="0" t="n">
        <f aca="false">D80*F80</f>
        <v>100</v>
      </c>
      <c r="H80" s="0" t="e">
        <f aca="false">G80/$G$120</f>
        <v>#DIV/0!</v>
      </c>
    </row>
    <row r="81" customFormat="false" ht="12.8" hidden="false" customHeight="false" outlineLevel="0" collapsed="false">
      <c r="A81" s="0" t="s">
        <v>150</v>
      </c>
      <c r="B81" s="0" t="s">
        <v>151</v>
      </c>
      <c r="C81" s="0" t="s">
        <v>152</v>
      </c>
      <c r="D81" s="0" t="n">
        <v>2</v>
      </c>
      <c r="E81" s="0" t="n">
        <f aca="false">D81/8</f>
        <v>0.25</v>
      </c>
      <c r="F81" s="0" t="n">
        <f aca="false">$B$6</f>
        <v>50</v>
      </c>
      <c r="G81" s="0" t="n">
        <f aca="false">D81*F81</f>
        <v>100</v>
      </c>
      <c r="H81" s="0" t="e">
        <f aca="false">G81/$G$120</f>
        <v>#DIV/0!</v>
      </c>
    </row>
    <row r="83" customFormat="false" ht="12.8" hidden="false" customHeight="false" outlineLevel="0" collapsed="false">
      <c r="B83" s="0" t="s">
        <v>153</v>
      </c>
      <c r="D83" s="0" t="n">
        <f aca="false">D57+D58+D61+D62+D63+D66+D67+D68+D71+D72+D75+D76+D77+D80+D81</f>
        <v>30</v>
      </c>
      <c r="E83" s="0" t="n">
        <f aca="false">D83/8</f>
        <v>3.75</v>
      </c>
      <c r="G83" s="0" t="n">
        <f aca="false">G57+G58+G61+G62+G63+G66+G67+G68+G71+G72+G75+G76+G77+G80+G81</f>
        <v>1500</v>
      </c>
      <c r="H83" s="0" t="e">
        <f aca="false">G83/$G$120</f>
        <v>#DIV/0!</v>
      </c>
    </row>
    <row r="85" customFormat="false" ht="12.8" hidden="false" customHeight="false" outlineLevel="0" collapsed="false">
      <c r="B85" s="0" t="s">
        <v>20</v>
      </c>
    </row>
    <row r="86" customFormat="false" ht="12.8" hidden="false" customHeight="false" outlineLevel="0" collapsed="false">
      <c r="B86" s="0" t="s">
        <v>154</v>
      </c>
    </row>
    <row r="87" customFormat="false" ht="12.8" hidden="false" customHeight="false" outlineLevel="0" collapsed="false">
      <c r="B87" s="0" t="s">
        <v>20</v>
      </c>
    </row>
    <row r="88" customFormat="false" ht="12.8" hidden="false" customHeight="false" outlineLevel="0" collapsed="false">
      <c r="A88" s="0" t="s">
        <v>155</v>
      </c>
      <c r="B88" s="0" t="s">
        <v>156</v>
      </c>
      <c r="C88" s="0" t="s">
        <v>157</v>
      </c>
      <c r="D88" s="0" t="n">
        <v>4</v>
      </c>
      <c r="E88" s="0" t="n">
        <f aca="false">D89/8</f>
        <v>0.375</v>
      </c>
      <c r="F88" s="0" t="n">
        <f aca="false">$B$6</f>
        <v>50</v>
      </c>
      <c r="G88" s="0" t="n">
        <f aca="false">D89*F89</f>
        <v>150</v>
      </c>
      <c r="H88" s="0" t="e">
        <f aca="false">G89/$G$120</f>
        <v>#DIV/0!</v>
      </c>
    </row>
    <row r="89" customFormat="false" ht="12.8" hidden="false" customHeight="false" outlineLevel="0" collapsed="false">
      <c r="A89" s="0" t="s">
        <v>158</v>
      </c>
      <c r="B89" s="0" t="s">
        <v>159</v>
      </c>
      <c r="C89" s="0" t="s">
        <v>160</v>
      </c>
      <c r="D89" s="0" t="n">
        <v>3</v>
      </c>
      <c r="E89" s="0" t="n">
        <f aca="false">D90/8</f>
        <v>0.375</v>
      </c>
      <c r="F89" s="0" t="n">
        <f aca="false">$B$6</f>
        <v>50</v>
      </c>
      <c r="G89" s="0" t="n">
        <f aca="false">D90*F90</f>
        <v>150</v>
      </c>
      <c r="H89" s="0" t="e">
        <f aca="false">G90/$G$120</f>
        <v>#DIV/0!</v>
      </c>
    </row>
    <row r="90" customFormat="false" ht="12.8" hidden="false" customHeight="false" outlineLevel="0" collapsed="false">
      <c r="A90" s="0" t="s">
        <v>161</v>
      </c>
      <c r="B90" s="0" t="s">
        <v>162</v>
      </c>
      <c r="C90" s="0" t="s">
        <v>163</v>
      </c>
      <c r="D90" s="0" t="n">
        <v>3</v>
      </c>
      <c r="E90" s="0" t="n">
        <f aca="false">D91/8</f>
        <v>0.5</v>
      </c>
      <c r="F90" s="0" t="n">
        <f aca="false">$B$6</f>
        <v>50</v>
      </c>
      <c r="G90" s="0" t="n">
        <f aca="false">D91*F91</f>
        <v>200</v>
      </c>
      <c r="H90" s="0" t="e">
        <f aca="false">G91/$G$120</f>
        <v>#DIV/0!</v>
      </c>
    </row>
    <row r="91" customFormat="false" ht="12.8" hidden="false" customHeight="false" outlineLevel="0" collapsed="false">
      <c r="A91" s="0" t="s">
        <v>164</v>
      </c>
      <c r="B91" s="0" t="s">
        <v>165</v>
      </c>
      <c r="C91" s="0" t="s">
        <v>166</v>
      </c>
      <c r="D91" s="0" t="n">
        <v>4</v>
      </c>
      <c r="E91" s="0" t="n">
        <f aca="false">D92/8</f>
        <v>0</v>
      </c>
      <c r="F91" s="0" t="n">
        <f aca="false">$B$6</f>
        <v>50</v>
      </c>
      <c r="G91" s="0" t="n">
        <f aca="false">D92*F92</f>
        <v>0</v>
      </c>
      <c r="H91" s="0" t="e">
        <f aca="false">G92/$G$120</f>
        <v>#DIV/0!</v>
      </c>
    </row>
    <row r="93" customFormat="false" ht="12.8" hidden="false" customHeight="false" outlineLevel="0" collapsed="false">
      <c r="B93" s="0" t="s">
        <v>167</v>
      </c>
      <c r="D93" s="0" t="n">
        <f aca="false">D89+D90+D91+D92</f>
        <v>10</v>
      </c>
      <c r="E93" s="0" t="n">
        <f aca="false">D94/8</f>
        <v>0</v>
      </c>
      <c r="G93" s="0" t="n">
        <f aca="false">G89+G90+G91+G92</f>
        <v>350</v>
      </c>
      <c r="H93" s="0" t="e">
        <f aca="false">G94/$G$120</f>
        <v>#DIV/0!</v>
      </c>
    </row>
    <row r="95" customFormat="false" ht="12.8" hidden="false" customHeight="false" outlineLevel="0" collapsed="false">
      <c r="B95" s="0" t="s">
        <v>20</v>
      </c>
    </row>
    <row r="96" customFormat="false" ht="12.8" hidden="false" customHeight="false" outlineLevel="0" collapsed="false">
      <c r="B96" s="0" t="s">
        <v>168</v>
      </c>
    </row>
    <row r="97" customFormat="false" ht="12.8" hidden="false" customHeight="false" outlineLevel="0" collapsed="false">
      <c r="B97" s="0" t="s">
        <v>20</v>
      </c>
    </row>
    <row r="98" customFormat="false" ht="12.8" hidden="false" customHeight="false" outlineLevel="0" collapsed="false">
      <c r="A98" s="0" t="s">
        <v>169</v>
      </c>
      <c r="B98" s="0" t="s">
        <v>170</v>
      </c>
      <c r="C98" s="0" t="s">
        <v>171</v>
      </c>
      <c r="D98" s="0" t="n">
        <v>8</v>
      </c>
      <c r="E98" s="0" t="n">
        <f aca="false">D100/8</f>
        <v>0.5</v>
      </c>
      <c r="F98" s="0" t="n">
        <f aca="false">$B$6</f>
        <v>50</v>
      </c>
      <c r="G98" s="0" t="n">
        <f aca="false">D100*F100</f>
        <v>200</v>
      </c>
      <c r="H98" s="0" t="e">
        <f aca="false">G100/$G$120</f>
        <v>#DIV/0!</v>
      </c>
    </row>
    <row r="99" customFormat="false" ht="12.8" hidden="false" customHeight="false" outlineLevel="0" collapsed="false">
      <c r="A99" s="0" t="s">
        <v>172</v>
      </c>
      <c r="B99" s="0" t="s">
        <v>173</v>
      </c>
      <c r="C99" s="0" t="s">
        <v>174</v>
      </c>
      <c r="D99" s="0" t="n">
        <v>3</v>
      </c>
      <c r="E99" s="0" t="n">
        <f aca="false">D101/8</f>
        <v>0.5</v>
      </c>
      <c r="F99" s="0" t="n">
        <f aca="false">$B$6</f>
        <v>50</v>
      </c>
      <c r="G99" s="0" t="n">
        <f aca="false">D101*F101</f>
        <v>200</v>
      </c>
      <c r="H99" s="0" t="e">
        <f aca="false">G101/$G$120</f>
        <v>#VALUE!</v>
      </c>
    </row>
    <row r="100" customFormat="false" ht="12.8" hidden="false" customHeight="false" outlineLevel="0" collapsed="false">
      <c r="A100" s="0" t="s">
        <v>175</v>
      </c>
      <c r="B100" s="0" t="s">
        <v>176</v>
      </c>
      <c r="C100" s="0" t="s">
        <v>177</v>
      </c>
      <c r="D100" s="0" t="n">
        <v>4</v>
      </c>
      <c r="E100" s="0" t="n">
        <f aca="false">D102/8</f>
        <v>0</v>
      </c>
      <c r="F100" s="0" t="n">
        <f aca="false">$B$6</f>
        <v>50</v>
      </c>
      <c r="G100" s="0" t="n">
        <f aca="false">D102*F102</f>
        <v>0</v>
      </c>
      <c r="H100" s="0" t="e">
        <f aca="false">G102/$G$120</f>
        <v>#DIV/0!</v>
      </c>
    </row>
    <row r="101" customFormat="false" ht="12.8" hidden="false" customHeight="false" outlineLevel="0" collapsed="false">
      <c r="A101" s="0" t="s">
        <v>178</v>
      </c>
      <c r="B101" s="0" t="s">
        <v>179</v>
      </c>
      <c r="C101" s="0" t="s">
        <v>180</v>
      </c>
      <c r="D101" s="0" t="n">
        <v>4</v>
      </c>
      <c r="E101" s="0" t="e">
        <f aca="false">D103/8</f>
        <v>#VALUE!</v>
      </c>
      <c r="F101" s="0" t="n">
        <f aca="false">$B$6</f>
        <v>50</v>
      </c>
      <c r="G101" s="0" t="e">
        <f aca="false">D103*F103</f>
        <v>#VALUE!</v>
      </c>
      <c r="H101" s="0" t="e">
        <f aca="false">G103/$G$120</f>
        <v>#VALUE!</v>
      </c>
    </row>
    <row r="103" customFormat="false" ht="12.8" hidden="false" customHeight="false" outlineLevel="0" collapsed="false">
      <c r="B103" s="0" t="s">
        <v>181</v>
      </c>
      <c r="D103" s="0" t="e">
        <f aca="false">D100+D101+D102+D103</f>
        <v>#VALUE!</v>
      </c>
      <c r="E103" s="0" t="n">
        <f aca="false">D105/8</f>
        <v>0</v>
      </c>
      <c r="G103" s="0" t="e">
        <f aca="false">G100+G101+G102+G103</f>
        <v>#VALUE!</v>
      </c>
      <c r="H103" s="0" t="e">
        <f aca="false">G105/$G$120</f>
        <v>#DIV/0!</v>
      </c>
    </row>
    <row r="105" customFormat="false" ht="12.8" hidden="false" customHeight="false" outlineLevel="0" collapsed="false">
      <c r="B105" s="0" t="s">
        <v>20</v>
      </c>
    </row>
    <row r="106" customFormat="false" ht="12.8" hidden="false" customHeight="false" outlineLevel="0" collapsed="false">
      <c r="B106" s="0" t="s">
        <v>182</v>
      </c>
    </row>
    <row r="107" customFormat="false" ht="12.8" hidden="false" customHeight="false" outlineLevel="0" collapsed="false">
      <c r="B107" s="0" t="s">
        <v>20</v>
      </c>
    </row>
    <row r="108" customFormat="false" ht="12.8" hidden="false" customHeight="false" outlineLevel="0" collapsed="false">
      <c r="A108" s="0" t="s">
        <v>183</v>
      </c>
      <c r="B108" s="0" t="s">
        <v>184</v>
      </c>
      <c r="C108" s="0" t="s">
        <v>185</v>
      </c>
      <c r="D108" s="0" t="n">
        <v>12</v>
      </c>
      <c r="E108" s="0" t="n">
        <f aca="false">D111/8</f>
        <v>0.5</v>
      </c>
      <c r="F108" s="0" t="n">
        <f aca="false">$B$6</f>
        <v>50</v>
      </c>
      <c r="G108" s="0" t="n">
        <f aca="false">D111*F111</f>
        <v>200</v>
      </c>
      <c r="H108" s="0" t="e">
        <f aca="false">G111/$G$120</f>
        <v>#DIV/0!</v>
      </c>
    </row>
    <row r="109" customFormat="false" ht="12.8" hidden="false" customHeight="false" outlineLevel="0" collapsed="false">
      <c r="A109" s="0" t="s">
        <v>186</v>
      </c>
      <c r="B109" s="0" t="s">
        <v>187</v>
      </c>
      <c r="C109" s="0" t="s">
        <v>188</v>
      </c>
      <c r="D109" s="0" t="n">
        <v>10</v>
      </c>
      <c r="E109" s="0" t="n">
        <f aca="false">D112/8</f>
        <v>0.75</v>
      </c>
      <c r="F109" s="0" t="n">
        <f aca="false">$B$6</f>
        <v>50</v>
      </c>
      <c r="G109" s="0" t="n">
        <f aca="false">D112*F112</f>
        <v>300</v>
      </c>
      <c r="H109" s="0" t="e">
        <f aca="false">G112/$G$120</f>
        <v>#VALUE!</v>
      </c>
    </row>
    <row r="110" customFormat="false" ht="12.8" hidden="false" customHeight="false" outlineLevel="0" collapsed="false">
      <c r="A110" s="0" t="s">
        <v>189</v>
      </c>
      <c r="B110" s="0" t="s">
        <v>190</v>
      </c>
      <c r="C110" s="0" t="s">
        <v>191</v>
      </c>
      <c r="D110" s="0" t="n">
        <v>8</v>
      </c>
      <c r="E110" s="0" t="n">
        <f aca="false">D113/8</f>
        <v>1.5</v>
      </c>
      <c r="F110" s="0" t="n">
        <f aca="false">$B$6</f>
        <v>50</v>
      </c>
      <c r="G110" s="0" t="n">
        <f aca="false">D113*F113</f>
        <v>600</v>
      </c>
      <c r="H110" s="0" t="e">
        <f aca="false">G113/$G$120</f>
        <v>#DIV/0!</v>
      </c>
    </row>
    <row r="111" customFormat="false" ht="12.8" hidden="false" customHeight="false" outlineLevel="0" collapsed="false">
      <c r="A111" s="0" t="s">
        <v>192</v>
      </c>
      <c r="B111" s="0" t="s">
        <v>193</v>
      </c>
      <c r="C111" s="0" t="s">
        <v>194</v>
      </c>
      <c r="D111" s="0" t="n">
        <v>4</v>
      </c>
      <c r="E111" s="0" t="n">
        <f aca="false">D114/8</f>
        <v>0</v>
      </c>
      <c r="F111" s="0" t="n">
        <f aca="false">$B$6</f>
        <v>50</v>
      </c>
      <c r="G111" s="0" t="n">
        <f aca="false">D114*F114</f>
        <v>0</v>
      </c>
      <c r="H111" s="0" t="e">
        <f aca="false">G114/$G$120</f>
        <v>#DIV/0!</v>
      </c>
    </row>
    <row r="112" customFormat="false" ht="12.8" hidden="false" customHeight="false" outlineLevel="0" collapsed="false">
      <c r="A112" s="0" t="s">
        <v>195</v>
      </c>
      <c r="B112" s="0" t="s">
        <v>196</v>
      </c>
      <c r="C112" s="0" t="s">
        <v>197</v>
      </c>
      <c r="D112" s="0" t="n">
        <v>6</v>
      </c>
      <c r="E112" s="0" t="e">
        <f aca="false">D115/8</f>
        <v>#VALUE!</v>
      </c>
      <c r="F112" s="0" t="n">
        <f aca="false">$B$6</f>
        <v>50</v>
      </c>
      <c r="G112" s="0" t="e">
        <f aca="false">D115*F115</f>
        <v>#VALUE!</v>
      </c>
      <c r="H112" s="0" t="e">
        <f aca="false">G115/$G$120</f>
        <v>#VALUE!</v>
      </c>
    </row>
    <row r="113" customFormat="false" ht="12.8" hidden="false" customHeight="false" outlineLevel="0" collapsed="false">
      <c r="A113" s="0" t="s">
        <v>198</v>
      </c>
      <c r="B113" s="0" t="s">
        <v>199</v>
      </c>
      <c r="C113" s="0" t="s">
        <v>200</v>
      </c>
      <c r="D113" s="0" t="n">
        <v>12</v>
      </c>
      <c r="E113" s="0" t="n">
        <f aca="false">D116/8</f>
        <v>0</v>
      </c>
      <c r="F113" s="0" t="n">
        <f aca="false">$B$6</f>
        <v>50</v>
      </c>
      <c r="G113" s="0" t="n">
        <f aca="false">D116*F116</f>
        <v>0</v>
      </c>
      <c r="H113" s="0" t="e">
        <f aca="false">G116/$G$120</f>
        <v>#DIV/0!</v>
      </c>
    </row>
    <row r="115" customFormat="false" ht="12.8" hidden="false" customHeight="false" outlineLevel="0" collapsed="false">
      <c r="B115" s="0" t="s">
        <v>201</v>
      </c>
      <c r="D115" s="0" t="e">
        <f aca="false">D111+D112+D113+D114+D115+D116</f>
        <v>#VALUE!</v>
      </c>
      <c r="E115" s="0" t="n">
        <f aca="false">D118/8</f>
        <v>0</v>
      </c>
      <c r="G115" s="0" t="e">
        <f aca="false">G111+G112+G113+G114+G115+G116</f>
        <v>#VALUE!</v>
      </c>
      <c r="H115" s="0" t="e">
        <f aca="false">G118/$G$120</f>
        <v>#DIV/0!</v>
      </c>
    </row>
    <row r="117" customFormat="false" ht="12.8" hidden="false" customHeight="false" outlineLevel="0" collapsed="false">
      <c r="B117" s="0" t="s">
        <v>20</v>
      </c>
    </row>
    <row r="118" customFormat="false" ht="12.8" hidden="false" customHeight="false" outlineLevel="0" collapsed="false">
      <c r="B118" s="0" t="s">
        <v>202</v>
      </c>
    </row>
    <row r="119" customFormat="false" ht="12.8" hidden="false" customHeight="false" outlineLevel="0" collapsed="false">
      <c r="B119" s="0" t="s">
        <v>20</v>
      </c>
    </row>
    <row r="120" customFormat="false" ht="12.8" hidden="false" customHeight="false" outlineLevel="0" collapsed="false">
      <c r="A120" s="0" t="s">
        <v>203</v>
      </c>
      <c r="B120" s="0" t="s">
        <v>204</v>
      </c>
      <c r="C120" s="0" t="s">
        <v>205</v>
      </c>
      <c r="D120" s="0" t="n">
        <v>5</v>
      </c>
      <c r="E120" s="0" t="n">
        <f aca="false">D124/8</f>
        <v>0</v>
      </c>
      <c r="F120" s="0" t="n">
        <f aca="false">$B$6</f>
        <v>50</v>
      </c>
      <c r="G120" s="0" t="n">
        <f aca="false">D124*F124</f>
        <v>0</v>
      </c>
      <c r="H120" s="0" t="e">
        <f aca="false">G124/$G$120</f>
        <v>#DIV/0!</v>
      </c>
    </row>
    <row r="121" customFormat="false" ht="12.8" hidden="false" customHeight="false" outlineLevel="0" collapsed="false">
      <c r="A121" s="0" t="s">
        <v>206</v>
      </c>
      <c r="B121" s="0" t="s">
        <v>207</v>
      </c>
      <c r="C121" s="0" t="s">
        <v>208</v>
      </c>
      <c r="D121" s="0" t="n">
        <v>5</v>
      </c>
      <c r="E121" s="0" t="e">
        <f aca="false">D125/8</f>
        <v>#VALUE!</v>
      </c>
      <c r="F121" s="0" t="n">
        <f aca="false">$B$6</f>
        <v>50</v>
      </c>
      <c r="G121" s="0" t="e">
        <f aca="false">D125*F125</f>
        <v>#VALUE!</v>
      </c>
      <c r="H121" s="0" t="e">
        <f aca="false">G125/$G$120</f>
        <v>#VALUE!</v>
      </c>
    </row>
    <row r="122" customFormat="false" ht="12.8" hidden="false" customHeight="false" outlineLevel="0" collapsed="false">
      <c r="A122" s="0" t="s">
        <v>209</v>
      </c>
      <c r="B122" s="0" t="s">
        <v>210</v>
      </c>
      <c r="C122" s="0" t="s">
        <v>211</v>
      </c>
      <c r="D122" s="0" t="n">
        <v>6</v>
      </c>
      <c r="E122" s="0" t="n">
        <f aca="false">D126/8</f>
        <v>0</v>
      </c>
      <c r="F122" s="0" t="n">
        <f aca="false">$B$6</f>
        <v>50</v>
      </c>
      <c r="G122" s="0" t="n">
        <f aca="false">D126*F126</f>
        <v>0</v>
      </c>
      <c r="H122" s="0" t="e">
        <f aca="false">G126/$G$120</f>
        <v>#DIV/0!</v>
      </c>
    </row>
    <row r="123" customFormat="false" ht="12.8" hidden="false" customHeight="false" outlineLevel="0" collapsed="false">
      <c r="A123" s="0" t="s">
        <v>212</v>
      </c>
      <c r="B123" s="0" t="s">
        <v>213</v>
      </c>
      <c r="C123" s="0" t="s">
        <v>214</v>
      </c>
      <c r="D123" s="0" t="n">
        <v>4</v>
      </c>
      <c r="E123" s="0" t="n">
        <f aca="false">D127/8</f>
        <v>0</v>
      </c>
      <c r="F123" s="0" t="n">
        <f aca="false">$B$6</f>
        <v>50</v>
      </c>
      <c r="G123" s="0" t="n">
        <f aca="false">D127*F127</f>
        <v>0</v>
      </c>
      <c r="H123" s="0" t="e">
        <f aca="false">G127/$G$120</f>
        <v>#DIV/0!</v>
      </c>
    </row>
    <row r="125" customFormat="false" ht="12.8" hidden="false" customHeight="false" outlineLevel="0" collapsed="false">
      <c r="B125" s="0" t="s">
        <v>215</v>
      </c>
      <c r="D125" s="0" t="e">
        <f aca="false">D124+D125+D126+D127</f>
        <v>#VALUE!</v>
      </c>
      <c r="E125" s="0" t="n">
        <f aca="false">D129/8</f>
        <v>0</v>
      </c>
      <c r="G125" s="0" t="e">
        <f aca="false">G124+G125+G126+G127</f>
        <v>#VALUE!</v>
      </c>
      <c r="H125" s="0" t="e">
        <f aca="false">G129/$G$120</f>
        <v>#DIV/0!</v>
      </c>
    </row>
    <row r="127" customFormat="false" ht="12.8" hidden="false" customHeight="false" outlineLevel="0" collapsed="false">
      <c r="B127" s="0" t="s">
        <v>20</v>
      </c>
    </row>
    <row r="128" customFormat="false" ht="12.8" hidden="false" customHeight="false" outlineLevel="0" collapsed="false">
      <c r="B128" s="0" t="s">
        <v>216</v>
      </c>
    </row>
    <row r="129" customFormat="false" ht="12.8" hidden="false" customHeight="false" outlineLevel="0" collapsed="false">
      <c r="B129" s="0" t="s">
        <v>20</v>
      </c>
    </row>
    <row r="130" customFormat="false" ht="12.8" hidden="false" customHeight="false" outlineLevel="0" collapsed="false">
      <c r="A130" s="0" t="s">
        <v>217</v>
      </c>
      <c r="B130" s="0" t="s">
        <v>218</v>
      </c>
      <c r="C130" s="0" t="s">
        <v>219</v>
      </c>
      <c r="D130" s="0" t="n">
        <v>4</v>
      </c>
      <c r="E130" s="0" t="e">
        <f aca="false">D135/8</f>
        <v>#VALUE!</v>
      </c>
      <c r="F130" s="0" t="n">
        <f aca="false">$B$6</f>
        <v>50</v>
      </c>
      <c r="G130" s="0" t="e">
        <f aca="false">D135*F135</f>
        <v>#VALUE!</v>
      </c>
      <c r="H130" s="0" t="e">
        <f aca="false">G135/$G$120</f>
        <v>#VALUE!</v>
      </c>
    </row>
    <row r="131" customFormat="false" ht="12.8" hidden="false" customHeight="false" outlineLevel="0" collapsed="false">
      <c r="A131" s="0" t="s">
        <v>220</v>
      </c>
      <c r="B131" s="0" t="s">
        <v>221</v>
      </c>
      <c r="C131" s="0" t="s">
        <v>222</v>
      </c>
      <c r="D131" s="0" t="n">
        <v>6</v>
      </c>
      <c r="E131" s="0" t="n">
        <f aca="false">D136/8</f>
        <v>0</v>
      </c>
      <c r="F131" s="0" t="n">
        <f aca="false">$B$6</f>
        <v>50</v>
      </c>
      <c r="G131" s="0" t="n">
        <f aca="false">D136*F136</f>
        <v>0</v>
      </c>
      <c r="H131" s="0" t="e">
        <f aca="false">G136/$G$120</f>
        <v>#DIV/0!</v>
      </c>
    </row>
    <row r="132" customFormat="false" ht="12.8" hidden="false" customHeight="false" outlineLevel="0" collapsed="false">
      <c r="A132" s="0" t="s">
        <v>223</v>
      </c>
      <c r="B132" s="0" t="s">
        <v>224</v>
      </c>
      <c r="C132" s="0" t="s">
        <v>225</v>
      </c>
      <c r="D132" s="0" t="n">
        <v>4</v>
      </c>
      <c r="E132" s="0" t="n">
        <f aca="false">D137/8</f>
        <v>0</v>
      </c>
      <c r="F132" s="0" t="n">
        <f aca="false">$B$6</f>
        <v>50</v>
      </c>
      <c r="G132" s="0" t="n">
        <f aca="false">D137*F137</f>
        <v>0</v>
      </c>
      <c r="H132" s="0" t="e">
        <f aca="false">G137/$G$120</f>
        <v>#DIV/0!</v>
      </c>
    </row>
    <row r="133" customFormat="false" ht="12.8" hidden="false" customHeight="false" outlineLevel="0" collapsed="false">
      <c r="A133" s="0" t="s">
        <v>226</v>
      </c>
      <c r="B133" s="0" t="s">
        <v>227</v>
      </c>
      <c r="C133" s="0" t="s">
        <v>228</v>
      </c>
      <c r="D133" s="0" t="n">
        <v>4</v>
      </c>
      <c r="E133" s="0" t="n">
        <f aca="false">D138/8</f>
        <v>0</v>
      </c>
      <c r="F133" s="0" t="n">
        <f aca="false">$B$6</f>
        <v>50</v>
      </c>
      <c r="G133" s="0" t="n">
        <f aca="false">D138*F138</f>
        <v>0</v>
      </c>
      <c r="H133" s="0" t="e">
        <f aca="false">G138/$G$120</f>
        <v>#DIV/0!</v>
      </c>
    </row>
    <row r="135" customFormat="false" ht="12.8" hidden="false" customHeight="false" outlineLevel="0" collapsed="false">
      <c r="B135" s="0" t="s">
        <v>229</v>
      </c>
      <c r="D135" s="0" t="e">
        <f aca="false">D135+D136+D137+D138</f>
        <v>#VALUE!</v>
      </c>
      <c r="E135" s="0" t="n">
        <f aca="false">D140/8</f>
        <v>2.5</v>
      </c>
      <c r="G135" s="0" t="e">
        <f aca="false">G135+G136+G137+G138</f>
        <v>#VALUE!</v>
      </c>
      <c r="H135" s="0" t="e">
        <f aca="false">G140/$G$120</f>
        <v>#DIV/0!</v>
      </c>
    </row>
    <row r="137" customFormat="false" ht="12.8" hidden="false" customHeight="false" outlineLevel="0" collapsed="false">
      <c r="B137" s="0" t="s">
        <v>20</v>
      </c>
    </row>
    <row r="138" customFormat="false" ht="12.8" hidden="false" customHeight="false" outlineLevel="0" collapsed="false">
      <c r="B138" s="0" t="s">
        <v>230</v>
      </c>
    </row>
    <row r="139" customFormat="false" ht="12.8" hidden="false" customHeight="false" outlineLevel="0" collapsed="false">
      <c r="B139" s="0" t="s">
        <v>20</v>
      </c>
    </row>
    <row r="140" customFormat="false" ht="12.8" hidden="false" customHeight="false" outlineLevel="0" collapsed="false">
      <c r="A140" s="0" t="s">
        <v>231</v>
      </c>
      <c r="B140" s="0" t="s">
        <v>232</v>
      </c>
      <c r="C140" s="0" t="s">
        <v>233</v>
      </c>
      <c r="D140" s="0" t="n">
        <v>20</v>
      </c>
      <c r="E140" s="0" t="n">
        <f aca="false">D146/8</f>
        <v>0</v>
      </c>
      <c r="F140" s="0" t="n">
        <f aca="false">$B$6</f>
        <v>50</v>
      </c>
      <c r="G140" s="0" t="n">
        <f aca="false">D146*F146</f>
        <v>0</v>
      </c>
      <c r="H140" s="0" t="e">
        <f aca="false">G146/$G$120</f>
        <v>#DIV/0!</v>
      </c>
    </row>
    <row r="141" customFormat="false" ht="12.8" hidden="false" customHeight="false" outlineLevel="0" collapsed="false">
      <c r="A141" s="0" t="s">
        <v>234</v>
      </c>
      <c r="B141" s="0" t="s">
        <v>235</v>
      </c>
      <c r="C141" s="0" t="s">
        <v>236</v>
      </c>
      <c r="D141" s="0" t="n">
        <v>10</v>
      </c>
      <c r="E141" s="0" t="n">
        <f aca="false">D147/8</f>
        <v>0</v>
      </c>
      <c r="F141" s="0" t="n">
        <f aca="false">$B$6</f>
        <v>50</v>
      </c>
      <c r="G141" s="0" t="n">
        <f aca="false">D147*F147</f>
        <v>0</v>
      </c>
      <c r="H141" s="0" t="e">
        <f aca="false">G147/$G$120</f>
        <v>#DIV/0!</v>
      </c>
    </row>
    <row r="142" customFormat="false" ht="12.8" hidden="false" customHeight="false" outlineLevel="0" collapsed="false">
      <c r="A142" s="0" t="s">
        <v>237</v>
      </c>
      <c r="B142" s="0" t="s">
        <v>238</v>
      </c>
      <c r="C142" s="0" t="s">
        <v>239</v>
      </c>
      <c r="D142" s="0" t="n">
        <v>6</v>
      </c>
      <c r="E142" s="0" t="n">
        <f aca="false">D148/8</f>
        <v>10.875</v>
      </c>
      <c r="F142" s="0" t="n">
        <f aca="false">$B$6</f>
        <v>50</v>
      </c>
      <c r="G142" s="0" t="n">
        <f aca="false">D148*F148</f>
        <v>0</v>
      </c>
      <c r="H142" s="0" t="e">
        <f aca="false">G148/$G$120</f>
        <v>#DIV/0!</v>
      </c>
    </row>
    <row r="144" customFormat="false" ht="12.8" hidden="false" customHeight="false" outlineLevel="0" collapsed="false">
      <c r="B144" s="0" t="s">
        <v>240</v>
      </c>
      <c r="D144" s="0" t="n">
        <f aca="false">D146+D147+D148</f>
        <v>87</v>
      </c>
      <c r="E144" s="0" t="n">
        <f aca="false">D150/8</f>
        <v>0</v>
      </c>
      <c r="G144" s="0" t="n">
        <f aca="false">G146+G147+G148</f>
        <v>3350</v>
      </c>
      <c r="H144" s="0" t="e">
        <f aca="false">G150/$G$120</f>
        <v>#DIV/0!</v>
      </c>
    </row>
    <row r="147" customFormat="false" ht="12.8" hidden="false" customHeight="false" outlineLevel="0" collapsed="false">
      <c r="B147" s="0" t="s">
        <v>20</v>
      </c>
    </row>
    <row r="148" customFormat="false" ht="12.8" hidden="false" customHeight="false" outlineLevel="0" collapsed="false">
      <c r="B148" s="0" t="s">
        <v>241</v>
      </c>
      <c r="D148" s="0" t="n">
        <f aca="false">D32+D51+D83+D94+D105+D118+D129+D140+D150</f>
        <v>87</v>
      </c>
      <c r="E148" s="0" t="n">
        <f aca="false">D154/8</f>
        <v>0</v>
      </c>
      <c r="G148" s="0" t="n">
        <f aca="false">G32+G51+G83+G94+G105+G118+G129+G140+G150</f>
        <v>3350</v>
      </c>
      <c r="H148" s="1" t="s">
        <v>242</v>
      </c>
    </row>
    <row r="149" customFormat="false" ht="12.8" hidden="false" customHeight="false" outlineLevel="0" collapsed="false">
      <c r="B149" s="0" t="s">
        <v>20</v>
      </c>
    </row>
    <row r="151" customFormat="false" ht="12.8" hidden="false" customHeight="false" outlineLevel="0" collapsed="false">
      <c r="A151" s="0" t="s">
        <v>20</v>
      </c>
    </row>
    <row r="152" customFormat="false" ht="12.8" hidden="false" customHeight="false" outlineLevel="0" collapsed="false">
      <c r="A152" s="0" t="s">
        <v>243</v>
      </c>
    </row>
    <row r="153" customFormat="false" ht="12.8" hidden="false" customHeight="false" outlineLevel="0" collapsed="false">
      <c r="A153" s="0" t="s">
        <v>20</v>
      </c>
    </row>
    <row r="155" customFormat="false" ht="12.8" hidden="false" customHeight="false" outlineLevel="0" collapsed="false">
      <c r="A155" s="0" t="s">
        <v>244</v>
      </c>
      <c r="B155" s="0" t="n">
        <f aca="false">D154</f>
        <v>0</v>
      </c>
      <c r="C155" s="0" t="s">
        <v>245</v>
      </c>
    </row>
    <row r="156" customFormat="false" ht="12.8" hidden="false" customHeight="false" outlineLevel="0" collapsed="false">
      <c r="A156" s="0" t="s">
        <v>246</v>
      </c>
      <c r="B156" s="0" t="n">
        <f aca="false">E154</f>
        <v>0</v>
      </c>
      <c r="C156" s="0" t="s">
        <v>247</v>
      </c>
    </row>
    <row r="157" customFormat="false" ht="12.8" hidden="false" customHeight="false" outlineLevel="0" collapsed="false">
      <c r="A157" s="0" t="s">
        <v>248</v>
      </c>
      <c r="B157" s="0" t="n">
        <f aca="false">E162/5</f>
        <v>0</v>
      </c>
      <c r="C157" s="0" t="s">
        <v>249</v>
      </c>
    </row>
    <row r="158" customFormat="false" ht="12.8" hidden="false" customHeight="false" outlineLevel="0" collapsed="false">
      <c r="A158" s="0" t="s">
        <v>250</v>
      </c>
      <c r="B158" s="0" t="e">
        <f aca="false">E162*1.3</f>
        <v>#NAME?</v>
      </c>
      <c r="C158" s="0" t="s">
        <v>251</v>
      </c>
    </row>
    <row r="160" customFormat="false" ht="12.8" hidden="false" customHeight="false" outlineLevel="0" collapsed="false">
      <c r="A160" s="0" t="s">
        <v>252</v>
      </c>
      <c r="B160" s="0" t="n">
        <f aca="false">$B$6</f>
        <v>50</v>
      </c>
      <c r="C160" s="0" t="s">
        <v>10</v>
      </c>
    </row>
    <row r="161" customFormat="false" ht="12.8" hidden="false" customHeight="false" outlineLevel="0" collapsed="false">
      <c r="A161" s="0" t="s">
        <v>253</v>
      </c>
      <c r="B161" s="0" t="n">
        <f aca="false">G154</f>
        <v>0</v>
      </c>
      <c r="C161" s="0" t="s">
        <v>10</v>
      </c>
    </row>
    <row r="164" customFormat="false" ht="12.8" hidden="false" customHeight="false" outlineLevel="0" collapsed="false">
      <c r="A164" s="0" t="s">
        <v>20</v>
      </c>
    </row>
    <row r="165" customFormat="false" ht="12.8" hidden="false" customHeight="false" outlineLevel="0" collapsed="false">
      <c r="A165" s="0" t="s">
        <v>254</v>
      </c>
    </row>
    <row r="166" customFormat="false" ht="12.8" hidden="false" customHeight="false" outlineLevel="0" collapsed="false">
      <c r="A166" s="0" t="s">
        <v>20</v>
      </c>
    </row>
    <row r="168" customFormat="false" ht="12.8" hidden="false" customHeight="false" outlineLevel="0" collapsed="false">
      <c r="A168" s="0" t="s">
        <v>255</v>
      </c>
      <c r="B168" s="0" t="s">
        <v>15</v>
      </c>
      <c r="C168" s="0" t="s">
        <v>256</v>
      </c>
      <c r="D168" s="0" t="s">
        <v>257</v>
      </c>
      <c r="E168" s="0" t="s">
        <v>258</v>
      </c>
    </row>
    <row r="169" customFormat="false" ht="12.8" hidden="false" customHeight="false" outlineLevel="0" collapsed="false">
      <c r="A169" s="0" t="s">
        <v>259</v>
      </c>
      <c r="B169" s="0" t="e">
        <f aca="false">D154*0.8</f>
        <v>#NAME?</v>
      </c>
      <c r="C169" s="0" t="n">
        <f aca="false">B175/8</f>
        <v>0</v>
      </c>
      <c r="D169" s="0" t="n">
        <f aca="false">C175/5</f>
        <v>0</v>
      </c>
      <c r="E169" s="0" t="n">
        <f aca="false">$B$6*B175</f>
        <v>0</v>
      </c>
    </row>
    <row r="170" customFormat="false" ht="12.8" hidden="false" customHeight="false" outlineLevel="0" collapsed="false">
      <c r="A170" s="0" t="s">
        <v>260</v>
      </c>
      <c r="B170" s="0" t="n">
        <f aca="false">D154</f>
        <v>0</v>
      </c>
      <c r="C170" s="0" t="n">
        <f aca="false">B176/8</f>
        <v>0</v>
      </c>
      <c r="D170" s="0" t="n">
        <f aca="false">C176/5</f>
        <v>0</v>
      </c>
      <c r="E170" s="0" t="n">
        <f aca="false">G154</f>
        <v>0</v>
      </c>
    </row>
    <row r="171" customFormat="false" ht="12.8" hidden="false" customHeight="false" outlineLevel="0" collapsed="false">
      <c r="A171" s="0" t="s">
        <v>261</v>
      </c>
      <c r="B171" s="0" t="e">
        <f aca="false">D154*1.3</f>
        <v>#NAME?</v>
      </c>
      <c r="C171" s="0" t="n">
        <f aca="false">B177/8</f>
        <v>0</v>
      </c>
      <c r="D171" s="0" t="n">
        <f aca="false">C177/5</f>
        <v>0</v>
      </c>
      <c r="E171" s="0" t="n">
        <f aca="false">$B$6*B177</f>
        <v>0</v>
      </c>
    </row>
    <row r="172" customFormat="false" ht="12.8" hidden="false" customHeight="false" outlineLevel="0" collapsed="false">
      <c r="A172" s="0" t="s">
        <v>262</v>
      </c>
      <c r="B172" s="0" t="e">
        <f aca="false">D154*1.5</f>
        <v>#NAME?</v>
      </c>
      <c r="C172" s="0" t="n">
        <f aca="false">B178/8</f>
        <v>0</v>
      </c>
      <c r="D172" s="0" t="n">
        <f aca="false">C178/5</f>
        <v>0</v>
      </c>
      <c r="E172" s="0" t="n">
        <f aca="false">$B$6*B178</f>
        <v>0</v>
      </c>
    </row>
    <row r="175" customFormat="false" ht="12.8" hidden="false" customHeight="false" outlineLevel="0" collapsed="false">
      <c r="A175" s="0" t="s">
        <v>20</v>
      </c>
    </row>
    <row r="176" customFormat="false" ht="12.8" hidden="false" customHeight="false" outlineLevel="0" collapsed="false">
      <c r="A176" s="0" t="s">
        <v>263</v>
      </c>
    </row>
    <row r="177" customFormat="false" ht="12.8" hidden="false" customHeight="false" outlineLevel="0" collapsed="false">
      <c r="A177" s="0" t="s">
        <v>20</v>
      </c>
    </row>
    <row r="179" customFormat="false" ht="12.8" hidden="false" customHeight="false" outlineLevel="0" collapsed="false">
      <c r="A179" s="0" t="s">
        <v>264</v>
      </c>
      <c r="B179" s="0" t="s">
        <v>15</v>
      </c>
      <c r="C179" s="0" t="s">
        <v>265</v>
      </c>
      <c r="D179" s="0" t="s">
        <v>266</v>
      </c>
    </row>
    <row r="180" customFormat="false" ht="12.8" hidden="false" customHeight="false" outlineLevel="0" collapsed="false">
      <c r="A180" s="0" t="s">
        <v>267</v>
      </c>
      <c r="B180" s="0" t="n">
        <f aca="false">D32</f>
        <v>22</v>
      </c>
      <c r="C180" s="0" t="n">
        <f aca="false">G32</f>
        <v>1100</v>
      </c>
      <c r="D180" s="0" t="e">
        <f aca="false">G32/G154*100</f>
        <v>#DIV/0!</v>
      </c>
    </row>
    <row r="181" customFormat="false" ht="12.8" hidden="false" customHeight="false" outlineLevel="0" collapsed="false">
      <c r="A181" s="0" t="s">
        <v>268</v>
      </c>
      <c r="B181" s="0" t="n">
        <f aca="false">D51</f>
        <v>15</v>
      </c>
      <c r="C181" s="0" t="n">
        <f aca="false">G51</f>
        <v>750</v>
      </c>
      <c r="D181" s="0" t="e">
        <f aca="false">G51/G154*100</f>
        <v>#DIV/0!</v>
      </c>
    </row>
    <row r="182" customFormat="false" ht="12.8" hidden="false" customHeight="false" outlineLevel="0" collapsed="false">
      <c r="A182" s="0" t="s">
        <v>269</v>
      </c>
      <c r="B182" s="0" t="n">
        <f aca="false">D83</f>
        <v>30</v>
      </c>
      <c r="C182" s="0" t="n">
        <f aca="false">G83</f>
        <v>1500</v>
      </c>
      <c r="D182" s="0" t="e">
        <f aca="false">G83/G154*100</f>
        <v>#DIV/0!</v>
      </c>
    </row>
    <row r="183" customFormat="false" ht="12.8" hidden="false" customHeight="false" outlineLevel="0" collapsed="false">
      <c r="A183" s="0" t="s">
        <v>270</v>
      </c>
      <c r="B183" s="0" t="n">
        <f aca="false">D94</f>
        <v>0</v>
      </c>
      <c r="C183" s="0" t="n">
        <f aca="false">G94</f>
        <v>0</v>
      </c>
      <c r="D183" s="0" t="e">
        <f aca="false">G94/G154*100</f>
        <v>#DIV/0!</v>
      </c>
    </row>
    <row r="184" customFormat="false" ht="12.8" hidden="false" customHeight="false" outlineLevel="0" collapsed="false">
      <c r="A184" s="0" t="s">
        <v>271</v>
      </c>
      <c r="B184" s="0" t="n">
        <f aca="false">D105</f>
        <v>0</v>
      </c>
      <c r="C184" s="0" t="n">
        <f aca="false">G105</f>
        <v>0</v>
      </c>
      <c r="D184" s="0" t="e">
        <f aca="false">G105/G154*100</f>
        <v>#DIV/0!</v>
      </c>
    </row>
    <row r="185" customFormat="false" ht="12.8" hidden="false" customHeight="false" outlineLevel="0" collapsed="false">
      <c r="A185" s="0" t="s">
        <v>272</v>
      </c>
      <c r="B185" s="0" t="n">
        <f aca="false">D118</f>
        <v>0</v>
      </c>
      <c r="C185" s="0" t="n">
        <f aca="false">G118</f>
        <v>0</v>
      </c>
      <c r="D185" s="0" t="e">
        <f aca="false">G118/G154*100</f>
        <v>#DIV/0!</v>
      </c>
    </row>
    <row r="186" customFormat="false" ht="12.8" hidden="false" customHeight="false" outlineLevel="0" collapsed="false">
      <c r="A186" s="0" t="s">
        <v>273</v>
      </c>
      <c r="B186" s="0" t="n">
        <f aca="false">D129</f>
        <v>0</v>
      </c>
      <c r="C186" s="0" t="n">
        <f aca="false">G129</f>
        <v>0</v>
      </c>
      <c r="D186" s="0" t="e">
        <f aca="false">G129/G154*100</f>
        <v>#DIV/0!</v>
      </c>
    </row>
    <row r="187" customFormat="false" ht="12.8" hidden="false" customHeight="false" outlineLevel="0" collapsed="false">
      <c r="A187" s="0" t="s">
        <v>274</v>
      </c>
      <c r="B187" s="0" t="n">
        <f aca="false">D140</f>
        <v>20</v>
      </c>
      <c r="C187" s="0" t="n">
        <f aca="false">G140</f>
        <v>0</v>
      </c>
      <c r="D187" s="0" t="e">
        <f aca="false">G140/G154*100</f>
        <v>#DIV/0!</v>
      </c>
    </row>
    <row r="188" customFormat="false" ht="12.8" hidden="false" customHeight="false" outlineLevel="0" collapsed="false">
      <c r="A188" s="0" t="s">
        <v>275</v>
      </c>
      <c r="B188" s="0" t="n">
        <f aca="false">D150</f>
        <v>0</v>
      </c>
      <c r="C188" s="0" t="n">
        <f aca="false">G150</f>
        <v>0</v>
      </c>
      <c r="D188" s="0" t="e">
        <f aca="false">G150/G154*100</f>
        <v>#DIV/0!</v>
      </c>
    </row>
    <row r="191" customFormat="false" ht="12.8" hidden="false" customHeight="false" outlineLevel="0" collapsed="false">
      <c r="A191" s="0" t="s">
        <v>20</v>
      </c>
    </row>
    <row r="192" customFormat="false" ht="12.8" hidden="false" customHeight="false" outlineLevel="0" collapsed="false">
      <c r="A192" s="0" t="s">
        <v>276</v>
      </c>
    </row>
    <row r="193" customFormat="false" ht="12.8" hidden="false" customHeight="false" outlineLevel="0" collapsed="false">
      <c r="A193" s="0" t="s">
        <v>20</v>
      </c>
    </row>
    <row r="195" customFormat="false" ht="12.8" hidden="false" customHeight="false" outlineLevel="0" collapsed="false">
      <c r="A195" s="0" t="s">
        <v>277</v>
      </c>
    </row>
    <row r="196" customFormat="false" ht="12.8" hidden="false" customHeight="false" outlineLevel="0" collapsed="false">
      <c r="A196" s="0" t="s">
        <v>278</v>
      </c>
    </row>
    <row r="197" customFormat="false" ht="12.8" hidden="false" customHeight="false" outlineLevel="0" collapsed="false">
      <c r="A197" s="0" t="s">
        <v>279</v>
      </c>
    </row>
    <row r="198" customFormat="false" ht="12.8" hidden="false" customHeight="false" outlineLevel="0" collapsed="false">
      <c r="A198" s="0" t="s">
        <v>280</v>
      </c>
    </row>
    <row r="199" customFormat="false" ht="12.8" hidden="false" customHeight="false" outlineLevel="0" collapsed="false">
      <c r="A199" s="0" t="s">
        <v>281</v>
      </c>
    </row>
    <row r="200" customFormat="false" ht="12.8" hidden="false" customHeight="false" outlineLevel="0" collapsed="false">
      <c r="A200" s="0" t="s">
        <v>282</v>
      </c>
    </row>
    <row r="201" customFormat="false" ht="12.8" hidden="false" customHeight="false" outlineLevel="0" collapsed="false">
      <c r="A201" s="0" t="s">
        <v>283</v>
      </c>
    </row>
    <row r="202" customFormat="false" ht="12.8" hidden="false" customHeight="false" outlineLevel="0" collapsed="false">
      <c r="A202" s="0" t="s">
        <v>284</v>
      </c>
    </row>
    <row r="203" customFormat="false" ht="12.8" hidden="false" customHeight="false" outlineLevel="0" collapsed="false">
      <c r="A203" s="0" t="s">
        <v>285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es-VE</dc:language>
  <cp:lastModifiedBy/>
  <cp:revision>0</cp:revision>
  <dc:subject/>
  <dc:title/>
</cp:coreProperties>
</file>